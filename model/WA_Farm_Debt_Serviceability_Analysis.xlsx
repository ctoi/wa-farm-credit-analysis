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toi/Downloads/project/WA_Farm_Debt_Serviceability_Analysis/"/>
    </mc:Choice>
  </mc:AlternateContent>
  <xr:revisionPtr revIDLastSave="0" documentId="13_ncr:1_{00ABD0B8-2956-9F4F-B226-700C671151D6}" xr6:coauthVersionLast="47" xr6:coauthVersionMax="47" xr10:uidLastSave="{00000000-0000-0000-0000-000000000000}"/>
  <bookViews>
    <workbookView xWindow="1460" yWindow="2620" windowWidth="36720" windowHeight="18460" activeTab="2" xr2:uid="{2368DEE9-B042-C544-865B-CC3536AAFFA5}"/>
  </bookViews>
  <sheets>
    <sheet name="README" sheetId="1" r:id="rId1"/>
    <sheet name="Assumptions" sheetId="2" r:id="rId2"/>
    <sheet name="Farm_Profile" sheetId="3" r:id="rId3"/>
    <sheet name="Debt_Model" sheetId="4" r:id="rId4"/>
    <sheet name="Sensitivit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2" i="4" l="1"/>
  <c r="P8" i="5"/>
  <c r="P9" i="5"/>
  <c r="P6" i="5"/>
  <c r="P10" i="5"/>
  <c r="B40" i="4"/>
  <c r="C33" i="3"/>
  <c r="D33" i="3"/>
  <c r="E33" i="3"/>
  <c r="F33" i="3"/>
  <c r="G33" i="3"/>
  <c r="H33" i="3"/>
  <c r="C34" i="3"/>
  <c r="D34" i="3"/>
  <c r="E34" i="3"/>
  <c r="F34" i="3"/>
  <c r="G34" i="3"/>
  <c r="H34" i="3"/>
  <c r="C35" i="3"/>
  <c r="D35" i="3"/>
  <c r="E35" i="3"/>
  <c r="F35" i="3"/>
  <c r="G35" i="3"/>
  <c r="H35" i="3"/>
  <c r="C36" i="3"/>
  <c r="D36" i="3"/>
  <c r="E36" i="3"/>
  <c r="F36" i="3"/>
  <c r="G36" i="3"/>
  <c r="H36" i="3"/>
  <c r="C37" i="3"/>
  <c r="D37" i="3"/>
  <c r="E37" i="3"/>
  <c r="F37" i="3"/>
  <c r="G37" i="3"/>
  <c r="H37" i="3"/>
  <c r="C38" i="3"/>
  <c r="D38" i="3"/>
  <c r="E38" i="3"/>
  <c r="F38" i="3"/>
  <c r="G38" i="3"/>
  <c r="H38" i="3"/>
  <c r="C39" i="3"/>
  <c r="D39" i="3"/>
  <c r="E39" i="3"/>
  <c r="F39" i="3"/>
  <c r="G39" i="3"/>
  <c r="H39" i="3"/>
  <c r="B39" i="3"/>
  <c r="B38" i="3"/>
  <c r="B37" i="3"/>
  <c r="B36" i="3"/>
  <c r="P7" i="5"/>
  <c r="B6" i="5"/>
  <c r="B7" i="5" s="1"/>
  <c r="B8" i="5" s="1"/>
  <c r="B9" i="5" s="1"/>
  <c r="B10" i="5" s="1"/>
  <c r="B11" i="5" s="1"/>
  <c r="B12" i="5" s="1"/>
  <c r="B13" i="5" s="1"/>
  <c r="D4" i="5"/>
  <c r="E4" i="5" s="1"/>
  <c r="F4" i="5" s="1"/>
  <c r="G4" i="5" s="1"/>
  <c r="H4" i="5" s="1"/>
  <c r="I4" i="5" s="1"/>
  <c r="J4" i="5" s="1"/>
  <c r="K4" i="5" s="1"/>
  <c r="L4" i="5" s="1"/>
  <c r="M4" i="5" s="1"/>
  <c r="B25" i="4"/>
  <c r="E27" i="4"/>
  <c r="D27" i="4"/>
  <c r="C27" i="4"/>
  <c r="B27" i="4"/>
  <c r="B20" i="4"/>
  <c r="E20" i="4" s="1"/>
  <c r="B19" i="4"/>
  <c r="B11" i="4"/>
  <c r="E11" i="4" s="1"/>
  <c r="B10" i="4"/>
  <c r="E10" i="4" s="1"/>
  <c r="B9" i="4"/>
  <c r="D9" i="4" s="1"/>
  <c r="B8" i="4"/>
  <c r="B5" i="4"/>
  <c r="C5" i="4" s="1"/>
  <c r="B35" i="3"/>
  <c r="B34" i="3"/>
  <c r="B33" i="3"/>
  <c r="E9" i="4" l="1"/>
  <c r="B21" i="4"/>
  <c r="P11" i="5" s="1"/>
  <c r="M10" i="5" s="1"/>
  <c r="D5" i="4"/>
  <c r="E5" i="4"/>
  <c r="B12" i="4"/>
  <c r="B15" i="4" s="1"/>
  <c r="B16" i="4" s="1"/>
  <c r="C10" i="4"/>
  <c r="C19" i="4"/>
  <c r="D10" i="4"/>
  <c r="D19" i="4"/>
  <c r="C8" i="4"/>
  <c r="E19" i="4"/>
  <c r="D8" i="4"/>
  <c r="E8" i="4"/>
  <c r="C11" i="4"/>
  <c r="C20" i="4"/>
  <c r="D11" i="4"/>
  <c r="D20" i="4"/>
  <c r="C9" i="4"/>
  <c r="K11" i="5" l="1"/>
  <c r="L10" i="5"/>
  <c r="D7" i="5"/>
  <c r="K13" i="5"/>
  <c r="K9" i="5"/>
  <c r="L8" i="5"/>
  <c r="M7" i="5"/>
  <c r="H8" i="5"/>
  <c r="D11" i="5"/>
  <c r="G11" i="5"/>
  <c r="E6" i="5"/>
  <c r="L13" i="5"/>
  <c r="G6" i="5"/>
  <c r="H10" i="5"/>
  <c r="L6" i="5"/>
  <c r="G10" i="5"/>
  <c r="M9" i="5"/>
  <c r="C7" i="5"/>
  <c r="F9" i="5"/>
  <c r="I10" i="5"/>
  <c r="C13" i="5"/>
  <c r="I5" i="5"/>
  <c r="E11" i="5"/>
  <c r="K12" i="5"/>
  <c r="F6" i="5"/>
  <c r="I12" i="5"/>
  <c r="L7" i="5"/>
  <c r="H9" i="5"/>
  <c r="K7" i="5"/>
  <c r="E10" i="5"/>
  <c r="C9" i="5"/>
  <c r="M5" i="5"/>
  <c r="E7" i="5"/>
  <c r="I8" i="5"/>
  <c r="D10" i="5"/>
  <c r="E9" i="5"/>
  <c r="G8" i="5"/>
  <c r="D8" i="5"/>
  <c r="F8" i="5"/>
  <c r="J9" i="5"/>
  <c r="F11" i="5"/>
  <c r="D12" i="5"/>
  <c r="J13" i="5"/>
  <c r="K8" i="5"/>
  <c r="F10" i="5"/>
  <c r="L11" i="5"/>
  <c r="M8" i="5"/>
  <c r="I11" i="5"/>
  <c r="M6" i="5"/>
  <c r="G9" i="5"/>
  <c r="D9" i="5"/>
  <c r="C8" i="5"/>
  <c r="J10" i="5"/>
  <c r="C6" i="5"/>
  <c r="J7" i="5"/>
  <c r="M12" i="5"/>
  <c r="E8" i="5"/>
  <c r="K10" i="5"/>
  <c r="G7" i="5"/>
  <c r="D6" i="5"/>
  <c r="I9" i="5"/>
  <c r="K6" i="5"/>
  <c r="C12" i="5"/>
  <c r="F7" i="5"/>
  <c r="L9" i="5"/>
  <c r="H6" i="5"/>
  <c r="H11" i="5"/>
  <c r="J8" i="5"/>
  <c r="L5" i="5"/>
  <c r="I7" i="5"/>
  <c r="H7" i="5"/>
  <c r="H5" i="5"/>
  <c r="G5" i="5"/>
  <c r="L12" i="5"/>
  <c r="F5" i="5"/>
  <c r="E5" i="5"/>
  <c r="D5" i="5"/>
  <c r="C5" i="5"/>
  <c r="C10" i="5"/>
  <c r="J6" i="5"/>
  <c r="I6" i="5"/>
  <c r="I13" i="5"/>
  <c r="H13" i="5"/>
  <c r="M11" i="5"/>
  <c r="G13" i="5"/>
  <c r="F13" i="5"/>
  <c r="E13" i="5"/>
  <c r="D13" i="5"/>
  <c r="M13" i="5"/>
  <c r="K5" i="5"/>
  <c r="J5" i="5"/>
  <c r="J12" i="5"/>
  <c r="J11" i="5"/>
  <c r="C11" i="5"/>
  <c r="H12" i="5"/>
  <c r="G12" i="5"/>
  <c r="F12" i="5"/>
  <c r="E12" i="5"/>
  <c r="B26" i="4"/>
  <c r="D21" i="4"/>
  <c r="E21" i="4"/>
  <c r="E15" i="4"/>
  <c r="C21" i="4"/>
  <c r="B24" i="4"/>
  <c r="B28" i="4" s="1"/>
  <c r="C12" i="4"/>
  <c r="C15" i="4" s="1"/>
  <c r="D12" i="4"/>
  <c r="D15" i="4" s="1"/>
  <c r="D25" i="4" s="1"/>
  <c r="C25" i="4" l="1"/>
  <c r="C26" i="4" s="1"/>
  <c r="E25" i="4"/>
  <c r="E26" i="4" s="1"/>
  <c r="G20" i="5"/>
  <c r="G21" i="5"/>
  <c r="G22" i="5"/>
  <c r="D26" i="4"/>
  <c r="E16" i="4"/>
  <c r="E24" i="4"/>
  <c r="E28" i="4" s="1"/>
  <c r="D16" i="4"/>
  <c r="D24" i="4"/>
  <c r="D28" i="4" s="1"/>
  <c r="C24" i="4"/>
  <c r="C28" i="4" s="1"/>
  <c r="C16" i="4"/>
</calcChain>
</file>

<file path=xl/sharedStrings.xml><?xml version="1.0" encoding="utf-8"?>
<sst xmlns="http://schemas.openxmlformats.org/spreadsheetml/2006/main" count="325" uniqueCount="254">
  <si>
    <t>Variable</t>
  </si>
  <si>
    <t>Value</t>
  </si>
  <si>
    <t>Source</t>
  </si>
  <si>
    <t>Date</t>
  </si>
  <si>
    <t>Total cash receipts per farm</t>
  </si>
  <si>
    <t>2023-24</t>
  </si>
  <si>
    <t>Total cash costs per farm</t>
  </si>
  <si>
    <t>Farm cash income per farm</t>
  </si>
  <si>
    <t>Farm business profit per farm</t>
  </si>
  <si>
    <t>Fertiliser cost per farm</t>
  </si>
  <si>
    <t>Fuel oil and grease per farm</t>
  </si>
  <si>
    <t>Interest paid per farm</t>
  </si>
  <si>
    <t>Total area cropped (ha)</t>
  </si>
  <si>
    <t>Wheat area sown (ha)</t>
  </si>
  <si>
    <t>Canola area sown (ha)</t>
  </si>
  <si>
    <t>SECTION B: DEBT FACILITY PARAMETERS</t>
  </si>
  <si>
    <t>Proposed facility amount</t>
  </si>
  <si>
    <t>Loan term (years)</t>
  </si>
  <si>
    <t>Minimum acceptable DSCR</t>
  </si>
  <si>
    <t>Standard agribusiness lending covenant threshold</t>
  </si>
  <si>
    <t>Assumed</t>
  </si>
  <si>
    <t>SECTION C: SCENARIO SHOCK PARAMETERS</t>
  </si>
  <si>
    <t>Historical: receipts fell 35% in 2023-24. ABARES March 2026 forecasts wheat GVP down 13% in 2026-27</t>
  </si>
  <si>
    <t>Historical: fertiliser rose 84% in 2021-22. Rabobank May 2026 documents ongoing price pressure from Strait of Hormuz disruption</t>
  </si>
  <si>
    <t>APW wheat price FOB Port Adelaide</t>
  </si>
  <si>
    <t>ABARES Weekly Update No.19/2026</t>
  </si>
  <si>
    <t>Canola price FOB Kwinana WA</t>
  </si>
  <si>
    <t>AUD/USD exchange rate</t>
  </si>
  <si>
    <t>RBA cash rate</t>
  </si>
  <si>
    <t>Total cash receipts ($)</t>
  </si>
  <si>
    <t>Total cash costs ($)</t>
  </si>
  <si>
    <t>Farm cash income ($)</t>
  </si>
  <si>
    <t>Farm business profit ($)</t>
  </si>
  <si>
    <t>Fertiliser ($)</t>
  </si>
  <si>
    <t>Fuel oil and grease ($)</t>
  </si>
  <si>
    <t>Interest paid ($)</t>
  </si>
  <si>
    <t>Cash margin % (farm cash income ÷ receipts)</t>
  </si>
  <si>
    <t>Cost-to-receipt ratio (costs ÷ receipts)</t>
  </si>
  <si>
    <t>Fertiliser as % of total costs</t>
  </si>
  <si>
    <t>Fuel as % of total costs</t>
  </si>
  <si>
    <t>Interest as % of total costs</t>
  </si>
  <si>
    <t>Total cash receipts per hectare ($/ha)</t>
  </si>
  <si>
    <t>Total cash costs per hectare ($/ha)</t>
  </si>
  <si>
    <t>Item</t>
  </si>
  <si>
    <t>SECTION A: FARM REVENUE</t>
  </si>
  <si>
    <t>SECTION B: FARM COSTS</t>
  </si>
  <si>
    <t>Other costs</t>
  </si>
  <si>
    <t>Cash margin % (income ÷ receipts)</t>
  </si>
  <si>
    <t>Annual principal repayment ($)</t>
  </si>
  <si>
    <t>SECTION E: DEBT SERVICE COVERAGE RATIO (DSCR)</t>
  </si>
  <si>
    <t>DSCR (farm cash income ÷ total debt service)</t>
  </si>
  <si>
    <t>Minimum acceptable DSCR threshold</t>
  </si>
  <si>
    <t>SECTION F: CREDIT ASSESSMENT VERDICT</t>
  </si>
  <si>
    <t>Verdict</t>
  </si>
  <si>
    <t>Conditional Approval</t>
  </si>
  <si>
    <t>Rationale</t>
  </si>
  <si>
    <t>DSCR of 3.06x is comfortable but forward outlook warrants protective covenants</t>
  </si>
  <si>
    <t>A 30% revenue decline renders farm cash-flow negative before debt service</t>
  </si>
  <si>
    <t>DSCR remains above threshold but fertiliser pressure warrants monitoring</t>
  </si>
  <si>
    <t>Simultaneous revenue and cost pressure produces negative farm cash income</t>
  </si>
  <si>
    <t>SECTION G: SCENARIO JUSTIFICATION</t>
  </si>
  <si>
    <t>DSCR headroom above 1.25x (cash basis)</t>
  </si>
  <si>
    <t>RaboResearch Farmland Outlook 2026, p.14</t>
  </si>
  <si>
    <t>Estimated total real estate value</t>
  </si>
  <si>
    <t>LVR on proposed facility</t>
  </si>
  <si>
    <t>Derived</t>
  </si>
  <si>
    <t>Detail</t>
  </si>
  <si>
    <t>Entity</t>
  </si>
  <si>
    <t>Illustrative</t>
  </si>
  <si>
    <t>Location</t>
  </si>
  <si>
    <t>Shire of Merredin</t>
  </si>
  <si>
    <t>Annual rainfall</t>
  </si>
  <si>
    <t>BOM Merredin station</t>
  </si>
  <si>
    <t>Total area</t>
  </si>
  <si>
    <t>5,200 ha freehold</t>
  </si>
  <si>
    <t>Arable cropping</t>
  </si>
  <si>
    <t>Livestock</t>
  </si>
  <si>
    <t>Enterprise</t>
  </si>
  <si>
    <t>DPIRD WA</t>
  </si>
  <si>
    <t>Grain marketing</t>
  </si>
  <si>
    <t>CBH Merredin receival, Kwinana terminal</t>
  </si>
  <si>
    <t>CBH Group</t>
  </si>
  <si>
    <t>Land value estimate</t>
  </si>
  <si>
    <t>Ownership</t>
  </si>
  <si>
    <t>ABARES benchmark note</t>
  </si>
  <si>
    <t>ABARES Farm Data Portal</t>
  </si>
  <si>
    <t>SECTION C: DERIVED PERFORMANCE METRICS</t>
  </si>
  <si>
    <t xml:space="preserve"> Profit-to-income ratio</t>
  </si>
  <si>
    <t>SECTION C: FARM CASH INCOME</t>
  </si>
  <si>
    <t>← Revenue Change →</t>
  </si>
  <si>
    <t>↑ Fertiliser Cost Change ↓</t>
  </si>
  <si>
    <t>Base receipts</t>
  </si>
  <si>
    <t>Base fertiliser</t>
  </si>
  <si>
    <t>Base other costs</t>
  </si>
  <si>
    <t>Debt service</t>
  </si>
  <si>
    <t xml:space="preserve"> </t>
  </si>
  <si>
    <t>Credit Assessment | $1.5M Machinery Facility | May 2026</t>
  </si>
  <si>
    <t>1. PROJECT PURPOSE</t>
  </si>
  <si>
    <t>2. HOW TO NAVIGATE THIS FILE</t>
  </si>
  <si>
    <t>README</t>
  </si>
  <si>
    <t>Assumptions</t>
  </si>
  <si>
    <t>Farm_Profile</t>
  </si>
  <si>
    <t>Mallet Ridge farm profile and ABARES time series data 2017-18 to 2023-24</t>
  </si>
  <si>
    <t>Debt_Model</t>
  </si>
  <si>
    <t>Sensitivity</t>
  </si>
  <si>
    <t>3. KEY FINDINGS</t>
  </si>
  <si>
    <t>Base case</t>
  </si>
  <si>
    <t>Scenario 1</t>
  </si>
  <si>
    <t>Scenario 2</t>
  </si>
  <si>
    <t>Scenario 3</t>
  </si>
  <si>
    <t>Combined revenue decline of 20% and fertiliser increase of 30% produces negative farm cash income. DSCR: negative.</t>
  </si>
  <si>
    <t>Recommendation</t>
  </si>
  <si>
    <t>4. DATA SOURCES</t>
  </si>
  <si>
    <t>ABARES Ag Commodities Report</t>
  </si>
  <si>
    <t>Wheat GVP outlook, revenue forecasts 2026-27</t>
  </si>
  <si>
    <t>APW wheat $403/t, canola $808/t, AUD/USD 0.71, WA seasonal conditions</t>
  </si>
  <si>
    <t>ABARES Financial Performance Report</t>
  </si>
  <si>
    <t>National cropping farm benchmarks 2022-23 to 2024-25</t>
  </si>
  <si>
    <t>RBA Table F7</t>
  </si>
  <si>
    <t>New small business lending rate: 7.01% p.a.</t>
  </si>
  <si>
    <t>RaboResearch Farmland Outlook 2026</t>
  </si>
  <si>
    <t>Rabobank Agribusiness Outlook</t>
  </si>
  <si>
    <t>Bureau of Meteorology</t>
  </si>
  <si>
    <t>Merredin average annual rainfall 314mm</t>
  </si>
  <si>
    <t>5. KEY ASSUMPTIONS AND LIMITATIONS</t>
  </si>
  <si>
    <t>WA BROADACRE FARM DEBT SERVICEABILITY ANALYSIS - MALLET RIDGE PASTORAL CO.</t>
  </si>
  <si>
    <t>HELPER</t>
  </si>
  <si>
    <t>Green cell + text</t>
  </si>
  <si>
    <t>Orange cell + text</t>
  </si>
  <si>
    <t>Dark red cell + text</t>
  </si>
  <si>
    <t>Scenario</t>
  </si>
  <si>
    <t>Condition</t>
  </si>
  <si>
    <t>DSCR</t>
  </si>
  <si>
    <t>Revenue 0%, Fertiliser +40%</t>
  </si>
  <si>
    <t xml:space="preserve">Base fuel </t>
  </si>
  <si>
    <t>Base interest</t>
  </si>
  <si>
    <t>Base Case</t>
  </si>
  <si>
    <t>This model assesses the debt serviceability of a representative Western Australian broadacre cropping operation - Mallet Ridge Pastoral Co. - against a proposed $1.5 million term loan facility for machinery replacement. Using ABARES farm survey benchmark data for WA cropping farms (2017-18 to 2023-24), the model calculates DSCR under base case and three stress scenarios, and maps the full range of outcomes across a two-variable sensitivity table. The analysis is framed as a preliminary credit assessment for an agribusiness lending institution.</t>
  </si>
  <si>
    <t>This page - project purpose, navigation guide, data sources</t>
  </si>
  <si>
    <t>All model inputs - sourced, tiered by data quality, dated. Change inputs here only.</t>
  </si>
  <si>
    <t>DSCR calculation - base case and three stress scenarios. Primary analytical output.</t>
  </si>
  <si>
    <t>Two-variable sensitivity table - DSCR across revenue and fertiliser cost combinations</t>
  </si>
  <si>
    <t>DSCR of 3.06x on a cash income basis - serviceable at current conditions. However conservative DSCR using farm business profit is 0.91x - below the 1.25x threshold before any stress is applied.</t>
  </si>
  <si>
    <t>A 30% revenue decline - consistent with the 35% fall observed in 2023-24 - renders farm cash income negative. DSCR: negative. Debt cannot be serviced from operations.</t>
  </si>
  <si>
    <t>A 40% fertiliser cost increase - conservative relative to the 84% spike in 2021-22 - reduces DSCR to 2.08x on a cash basis. Serviceable but margin significantly compressed.</t>
  </si>
  <si>
    <t>Conditional approval - the facility is supportable at current conditions but forward outlook warrants protective covenants including forward grain sales requirements and annual DSCR covenant testing.</t>
  </si>
  <si>
    <t>Farm financials - WA Cropping 2017-18 to 2023-24</t>
  </si>
  <si>
    <t>WA arable land median $6,330/ha - adjusted to $4,800/ha for Merredin rainfall zone</t>
  </si>
  <si>
    <t>Fertiliser market - Strait of Hormuz impact, urea price escalation</t>
  </si>
  <si>
    <t>1. Financial data reflects ABARES benchmark averages for WA cropping farms - not Mallet Ridge's actual financial records. Individual farm results will vary based on scale, debt structure, management quality, and seasonal conditions.</t>
  </si>
  <si>
    <t>2. DSCR calculated using farm cash income as the primary numerator. A conservative DSCR using farm business profit of $290,580 produces 0.91x - below the 1.25x threshold in the base case. A lender applying this framework to a specific borrower would require actual financial statements.</t>
  </si>
  <si>
    <t>3. Debt service calculated on straight-line amortisation at Year 1 interest - the most conservative point in the repayment schedule. Actual debt service declines in subsequent years as principal reduces.</t>
  </si>
  <si>
    <t>4. Existing debt structure of the borrower is not modelled. Interest paid of $164,900 per annum implies existing debt of approximately $2.3M at current rates - but principal balance, maturity, and covenant structure are unknown from public data.</t>
  </si>
  <si>
    <t>5. Livestock income from Merino wool enterprise is not captured in the ABARES cropping benchmark - conservative treatment that understates total farm revenue capacity.</t>
  </si>
  <si>
    <r>
      <rPr>
        <b/>
        <sz val="12"/>
        <color theme="1"/>
        <rFont val="Calibri"/>
        <family val="2"/>
      </rPr>
      <t>DISCLAIMER</t>
    </r>
    <r>
      <rPr>
        <sz val="12"/>
        <color theme="1"/>
        <rFont val="Calibri"/>
        <family val="2"/>
      </rPr>
      <t>: Mallet Ridge Pastoral Co. is a fictional entity. This model uses ABARES benchmark data representing a representative WA cropping farm. All inputs are sourced from publicly available government and industry publications as cited above. This analysis does not constitute financial or investment advice.</t>
    </r>
  </si>
  <si>
    <t>FARM FINANCIAL PROFILE - WA Cropping Benchmark (ABARES 2017–18 to 2023–24)</t>
  </si>
  <si>
    <t>SECTION A: MALLET RIDGE PASTORAL CO. - REPRESENTATIVE FARM PROFILE</t>
  </si>
  <si>
    <t>Mallet Ridge Pastoral Co. (fictional) - Edwards Agribusiness Holdings Pty Ltd</t>
  </si>
  <si>
    <t>Shire of Merredin, Central Wheatbelt WA - approximately 256km east of Perth</t>
  </si>
  <si>
    <t>Illustrative - above ABARES WA average of 3,990 ha</t>
  </si>
  <si>
    <t>4,200 ha - wheat, barley, canola, lupins</t>
  </si>
  <si>
    <t>600 ha - 3,200 Merino ewes</t>
  </si>
  <si>
    <t>WA winter cropping - seeded May, harvested Nov-Dec</t>
  </si>
  <si>
    <t>AUD $4,800/ha arable - total real estate $22.76M</t>
  </si>
  <si>
    <t>RaboResearch 2026, p.14 - adjusted for rainfall zone</t>
  </si>
  <si>
    <t>Multigenerational family - 46 years in operation</t>
  </si>
  <si>
    <t>Financial data reflects ABARES WA Cropping average. Mallet Ridge at 5,200 ha is above the benchmark average of 3,990 ha - ABARES data conservatively understates farm-level revenue capacity</t>
  </si>
  <si>
    <t>SECTION B: ABARES TIME SERIES DATA - Western Australia, Cropping Industry</t>
  </si>
  <si>
    <t>SECTION D: KEY OBSERVATIONS - 2023–24 BASE YEAR</t>
  </si>
  <si>
    <t>2. Fertiliser now represents 25.3% of total cash costs in 2023-24, up from 18.4% in 2017-18 - reflecting structural cost escalation in the farm input base.</t>
  </si>
  <si>
    <t>4. The cost-to-receipt ratio deteriorated to 75.9% in 2023-24, meaning for every dollar of revenue the farm retains only 24.1 cents as operating surplus - the tightest position in the 7-year series.</t>
  </si>
  <si>
    <t>ASSUMPTIONS &amp; DATA SOURCES - WA Broadacre Farm Debt Serviceability Analysis</t>
  </si>
  <si>
    <t>SECTION A: ABARES FARM BENCHMARK DATA - WA Cropping, 2023–24</t>
  </si>
  <si>
    <t>ABARES Farm Data Portal - WA Cropping</t>
  </si>
  <si>
    <t>Hypothetical facility - illustrative</t>
  </si>
  <si>
    <t>Standard machinery finance term - agribusiness lending</t>
  </si>
  <si>
    <t>Interest rate - new small business loans</t>
  </si>
  <si>
    <t>RBA Table F7 - new small business loans total</t>
  </si>
  <si>
    <t>Scenario 1 - Revenue decline</t>
  </si>
  <si>
    <t>Scenario 2 - Fertiliser cost increase</t>
  </si>
  <si>
    <t>Scenario 3 - Combined revenue decline</t>
  </si>
  <si>
    <t>Simultaneous pressure scenario - ABARES 2026-27 outlook</t>
  </si>
  <si>
    <t>Scenario 3 - Combined fertiliser increase</t>
  </si>
  <si>
    <t>Simultaneous pressure scenario - Rabobank May 2026</t>
  </si>
  <si>
    <t>SECTION D: CURRENT MARKET CONTEXT - FOR CREDIT MEMO REFERENCE</t>
  </si>
  <si>
    <t>WA arable land - state median (Rabobank)</t>
  </si>
  <si>
    <t>WA arable land - Merredin zone estimate</t>
  </si>
  <si>
    <t>Adjusted for 300-400mm rainfall zone - see methodology note</t>
  </si>
  <si>
    <t>WA grazing land - state median (Rabobank)</t>
  </si>
  <si>
    <t>WA grazing land - Merredin zone estimate</t>
  </si>
  <si>
    <t>Non-arable low-rainfall grazing - discount to state median</t>
  </si>
  <si>
    <t>Derived - land valuation table</t>
  </si>
  <si>
    <t>SENSITIVITY ANALYSIS - DSCR UNDER COMBINED REVENUE AND FERTILISER COST SCENARIOS</t>
  </si>
  <si>
    <t xml:space="preserve"> DSCR ≥ 1.25x - Serviceable</t>
  </si>
  <si>
    <t>0 ≤ DSCR &lt; 1.25x - Below minimum threshold</t>
  </si>
  <si>
    <t>DSCR &lt; 0 - Cash flow negative before debt service</t>
  </si>
  <si>
    <t>Scenario 2 - Fertiliser spike</t>
  </si>
  <si>
    <t>Scenario 3 - Combined shock</t>
  </si>
  <si>
    <t>Historical</t>
  </si>
  <si>
    <t>Tab</t>
  </si>
  <si>
    <t>Description</t>
  </si>
  <si>
    <t>Data Used</t>
  </si>
  <si>
    <t>2025-26</t>
  </si>
  <si>
    <t>Dealer trade-in valuation estimate</t>
  </si>
  <si>
    <t>Merredin average annual rainfall</t>
  </si>
  <si>
    <t>Bureau of Meteorology, Station 010092</t>
  </si>
  <si>
    <t>Tier</t>
  </si>
  <si>
    <t>Unit</t>
  </si>
  <si>
    <t>AUD per farm</t>
  </si>
  <si>
    <t>Hectares per farm</t>
  </si>
  <si>
    <t>AUD</t>
  </si>
  <si>
    <t>Years</t>
  </si>
  <si>
    <t>% per annum</t>
  </si>
  <si>
    <t>Ratio</t>
  </si>
  <si>
    <t>% change</t>
  </si>
  <si>
    <t>AUD per tonne</t>
  </si>
  <si>
    <t>AUD per USD</t>
  </si>
  <si>
    <t>AUD per ha</t>
  </si>
  <si>
    <t>%</t>
  </si>
  <si>
    <t>mm</t>
  </si>
  <si>
    <t>Gross capital outlay - new machinery</t>
  </si>
  <si>
    <t>Dealer indicative pricing - JD X9 1100 + Case IH 2160</t>
  </si>
  <si>
    <t xml:space="preserve">
Trade-in credit - legacy equipment</t>
  </si>
  <si>
    <t>RBA - Cash Rate Target</t>
  </si>
  <si>
    <t>2020-2021</t>
  </si>
  <si>
    <t>2021-2022</t>
  </si>
  <si>
    <t>2022-2023</t>
  </si>
  <si>
    <t>2023-2024</t>
  </si>
  <si>
    <t>2017-2018</t>
  </si>
  <si>
    <t>2018-2019</t>
  </si>
  <si>
    <t>2019-2020</t>
  </si>
  <si>
    <t>Source: ABARES Farm Data Portal, Western Australia, Cropping industry, 2017-18 to 2023-24. All values expressed as per-farm averages in real 2024-25 dollars. Data for years shown as financial year ending June.</t>
  </si>
  <si>
    <t>All derived metrics calculated from ABARES Farm Data Portal data. Percentage figures expressed as one decimal place.</t>
  </si>
  <si>
    <t>1. Farm cash income fell 56% from the 2022-23 peak -$2,238,510 to $978,440 in 2023-24, driven by a 35% fall in total cash receipts while costs fell only 23%.</t>
  </si>
  <si>
    <t>3. Despite the sharp income decline, 2023-24 farm cash income of $978,440 remains above the 7-year average of $1,073,410  - the farm is not in distress but the margin buffer has compressed.</t>
  </si>
  <si>
    <t>DEBT SERVICEABILITY MODEL - Mallet Ridge Pastoral Co. - $1.5M Machinery Facility</t>
  </si>
  <si>
    <t>Scenario 1 - Revenue Decline</t>
  </si>
  <si>
    <t xml:space="preserve"> Scenario 2 - Input Cost Spike</t>
  </si>
  <si>
    <t>Scenario 3 - Combined Shock</t>
  </si>
  <si>
    <t>Interest paid - existing debt ($)</t>
  </si>
  <si>
    <t>SECTION D: DEBT SERVICE CALCULATION - $1.5M FACILITY, 7 YEARS @ 7.01% P.A.</t>
  </si>
  <si>
    <t>Annual interest on new facility - Year 1 ($)</t>
  </si>
  <si>
    <t>Total annual debt service - new facility ($)</t>
  </si>
  <si>
    <t>Farm business profit - estimated ($)</t>
  </si>
  <si>
    <t>DSCR - Conservative basis (farm business profit ÷ debt service)</t>
  </si>
  <si>
    <t>Decline - Cash Flow Negative</t>
  </si>
  <si>
    <t>HELPER - DO NOT EDIT</t>
  </si>
  <si>
    <t>Scenario 1 (Revenue −30%): Anchored in historical data - total cash receipts fell 35% between 2022-23 and 2023-24 (ABARES Farm Data Portal). ABARES March 2026 Agricultural Commodities Report forecasts wheat GVP to fall a further 13% in 2026-27. Dry conditions across WA cropping regions documented in ABARES Weekly Update 21 May 2026 present additional downside risk to 2026-27 production.</t>
  </si>
  <si>
    <t>Scenario 2 (Fertiliser +40%): Anchored in historical data - fertiliser costs rose 84% between 2020-21 and 2021-22 (ABARES Farm Data Portal). Rabobank Agribusiness Outlook May 2026 documents ongoing fertiliser price escalation driven by Strait of Hormuz disruption, with Middle East urea spot prices rising 8% month-on-month in April 2026 and phosphate prices rising 20% month-on-month.</t>
  </si>
  <si>
    <t>Scenario 3 (Combined −20% revenue, +30% fertiliser): Tests simultaneous margin compression consistent with the 2026-27 outlook described in ABARES March 2026 - lower crop prices and higher input costs occurring together. This scenario reflects the stagflationary environment Rabobank identifies as the key risk for Australian broadacre producers in 2026.</t>
  </si>
  <si>
    <t>Revenue -30%, Fertiliser 0%</t>
  </si>
  <si>
    <t>Revenue -20%, Fertiliser +30%</t>
  </si>
  <si>
    <r>
      <rPr>
        <b/>
        <sz val="12"/>
        <color theme="1"/>
        <rFont val="Calibri"/>
        <family val="2"/>
      </rPr>
      <t>DISCLAIMER:</t>
    </r>
    <r>
      <rPr>
        <sz val="12"/>
        <color theme="1"/>
        <rFont val="Calibri"/>
        <family val="2"/>
      </rPr>
      <t xml:space="preserve"> Mallet Ridge Pastoral Co. is a fictional entity created for illustrative purposes. All financial inputs are derived from publicly available ABARES benchmark data. This analysis does not constitute financial or investment advice.</t>
    </r>
  </si>
  <si>
    <t>314 mm average - 300-400mm 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</si>
</sst>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0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16"/>
      <color theme="1"/>
      <name val="Calibri"/>
      <family val="2"/>
    </font>
    <font>
      <sz val="12"/>
      <color theme="0"/>
      <name val="Calibri"/>
      <family val="2"/>
    </font>
    <font>
      <b/>
      <sz val="14"/>
      <color theme="0"/>
      <name val="Calibri"/>
      <family val="2"/>
    </font>
    <font>
      <sz val="12"/>
      <color rgb="FF000000"/>
      <name val="Calibri"/>
      <family val="2"/>
    </font>
    <font>
      <sz val="10"/>
      <color theme="1"/>
      <name val="Calibri"/>
      <family val="2"/>
    </font>
    <font>
      <b/>
      <sz val="12"/>
      <color theme="1"/>
      <name val="Aptos Narrow"/>
      <family val="2"/>
      <scheme val="minor"/>
    </font>
    <font>
      <b/>
      <i/>
      <sz val="12"/>
      <color theme="1"/>
      <name val="Calibri"/>
      <family val="2"/>
    </font>
    <font>
      <i/>
      <sz val="12"/>
      <color theme="1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AE387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F0CE"/>
        <bgColor rgb="FF000000"/>
      </patternFill>
    </fill>
    <fill>
      <patternFill patternType="solid">
        <fgColor rgb="FFFFEC9C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C9C"/>
        <bgColor indexed="64"/>
      </patternFill>
    </fill>
    <fill>
      <patternFill patternType="solid">
        <fgColor rgb="FF3C7D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thin">
        <color theme="2"/>
      </bottom>
      <diagonal/>
    </border>
    <border>
      <left style="thin">
        <color indexed="64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indexed="64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theme="2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 style="thin">
        <color indexed="64"/>
      </right>
      <top style="thin">
        <color theme="2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2"/>
      </left>
      <right/>
      <top style="thin">
        <color theme="2"/>
      </top>
      <bottom style="thin">
        <color indexed="64"/>
      </bottom>
      <diagonal/>
    </border>
    <border>
      <left/>
      <right/>
      <top style="thin">
        <color theme="2"/>
      </top>
      <bottom style="thin">
        <color indexed="64"/>
      </bottom>
      <diagonal/>
    </border>
    <border>
      <left/>
      <right style="thin">
        <color indexed="64"/>
      </right>
      <top style="thin">
        <color theme="2"/>
      </top>
      <bottom style="thin">
        <color indexed="64"/>
      </bottom>
      <diagonal/>
    </border>
    <border>
      <left style="thin">
        <color indexed="64"/>
      </left>
      <right style="thin">
        <color theme="2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 style="thin">
        <color theme="1"/>
      </right>
      <top style="thin">
        <color indexed="64"/>
      </top>
      <bottom style="thin">
        <color theme="2"/>
      </bottom>
      <diagonal/>
    </border>
    <border>
      <left style="thin">
        <color theme="1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1"/>
      </right>
      <top style="thin">
        <color theme="2"/>
      </top>
      <bottom style="thin">
        <color theme="2"/>
      </bottom>
      <diagonal/>
    </border>
    <border>
      <left style="thin">
        <color theme="1"/>
      </left>
      <right style="thin">
        <color theme="2"/>
      </right>
      <top style="thin">
        <color theme="2"/>
      </top>
      <bottom style="thin">
        <color theme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1"/>
      </bottom>
      <diagonal/>
    </border>
    <border>
      <left style="thin">
        <color theme="2"/>
      </left>
      <right style="thin">
        <color theme="1"/>
      </right>
      <top style="thin">
        <color theme="2"/>
      </top>
      <bottom style="thin">
        <color theme="1"/>
      </bottom>
      <diagonal/>
    </border>
    <border>
      <left style="thin">
        <color theme="1"/>
      </left>
      <right style="thin">
        <color theme="2"/>
      </right>
      <top style="thin">
        <color theme="1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1"/>
      </top>
      <bottom style="thin">
        <color theme="2"/>
      </bottom>
      <diagonal/>
    </border>
    <border>
      <left style="thin">
        <color theme="2"/>
      </left>
      <right style="thin">
        <color indexed="64"/>
      </right>
      <top style="thin">
        <color theme="1"/>
      </top>
      <bottom style="thin">
        <color theme="2"/>
      </bottom>
      <diagonal/>
    </border>
    <border>
      <left style="thin">
        <color theme="1"/>
      </left>
      <right/>
      <top style="thin">
        <color theme="1"/>
      </top>
      <bottom style="thin">
        <color theme="2"/>
      </bottom>
      <diagonal/>
    </border>
    <border>
      <left/>
      <right/>
      <top style="thin">
        <color theme="1"/>
      </top>
      <bottom style="thin">
        <color theme="2"/>
      </bottom>
      <diagonal/>
    </border>
    <border>
      <left/>
      <right style="thin">
        <color theme="1"/>
      </right>
      <top style="thin">
        <color theme="1"/>
      </top>
      <bottom style="thin">
        <color theme="2"/>
      </bottom>
      <diagonal/>
    </border>
    <border>
      <left style="thin">
        <color theme="1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1"/>
      </right>
      <top style="thin">
        <color theme="2"/>
      </top>
      <bottom style="thin">
        <color theme="2"/>
      </bottom>
      <diagonal/>
    </border>
    <border>
      <left style="thin">
        <color theme="1"/>
      </left>
      <right/>
      <top style="thin">
        <color theme="2"/>
      </top>
      <bottom style="thin">
        <color theme="1"/>
      </bottom>
      <diagonal/>
    </border>
    <border>
      <left/>
      <right/>
      <top style="thin">
        <color theme="2"/>
      </top>
      <bottom style="thin">
        <color theme="1"/>
      </bottom>
      <diagonal/>
    </border>
    <border>
      <left/>
      <right style="thin">
        <color theme="1"/>
      </right>
      <top style="thin">
        <color theme="2"/>
      </top>
      <bottom style="thin">
        <color theme="1"/>
      </bottom>
      <diagonal/>
    </border>
    <border>
      <left style="thin">
        <color auto="1"/>
      </left>
      <right/>
      <top style="thin">
        <color auto="1"/>
      </top>
      <bottom style="thin">
        <color theme="2"/>
      </bottom>
      <diagonal/>
    </border>
    <border>
      <left/>
      <right/>
      <top style="thin">
        <color auto="1"/>
      </top>
      <bottom style="thin">
        <color theme="2"/>
      </bottom>
      <diagonal/>
    </border>
    <border>
      <left/>
      <right style="thin">
        <color auto="1"/>
      </right>
      <top style="thin">
        <color auto="1"/>
      </top>
      <bottom style="thin">
        <color theme="2"/>
      </bottom>
      <diagonal/>
    </border>
    <border>
      <left style="thin">
        <color auto="1"/>
      </left>
      <right/>
      <top style="thin">
        <color theme="2"/>
      </top>
      <bottom style="thin">
        <color theme="2"/>
      </bottom>
      <diagonal/>
    </border>
    <border>
      <left/>
      <right style="thin">
        <color auto="1"/>
      </right>
      <top style="thin">
        <color theme="2"/>
      </top>
      <bottom style="thin">
        <color theme="2"/>
      </bottom>
      <diagonal/>
    </border>
    <border>
      <left style="thin">
        <color auto="1"/>
      </left>
      <right/>
      <top style="thin">
        <color theme="2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indexed="64"/>
      </bottom>
      <diagonal/>
    </border>
    <border>
      <left style="thin">
        <color indexed="64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indexed="64"/>
      </right>
      <top style="thin">
        <color theme="2"/>
      </top>
      <bottom/>
      <diagonal/>
    </border>
    <border>
      <left style="thin">
        <color theme="2"/>
      </left>
      <right style="thin">
        <color theme="1"/>
      </right>
      <top style="thin">
        <color theme="1"/>
      </top>
      <bottom style="thin">
        <color theme="2"/>
      </bottom>
      <diagonal/>
    </border>
    <border>
      <left style="thin">
        <color theme="1"/>
      </left>
      <right style="thin">
        <color theme="2"/>
      </right>
      <top/>
      <bottom style="thin">
        <color theme="1"/>
      </bottom>
      <diagonal/>
    </border>
    <border>
      <left style="thin">
        <color theme="2"/>
      </left>
      <right style="thin">
        <color theme="2"/>
      </right>
      <top/>
      <bottom style="thin">
        <color theme="1"/>
      </bottom>
      <diagonal/>
    </border>
    <border>
      <left style="thin">
        <color theme="2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theme="2"/>
      </right>
      <top style="thin">
        <color indexed="64"/>
      </top>
      <bottom/>
      <diagonal/>
    </border>
    <border>
      <left style="thin">
        <color theme="2"/>
      </left>
      <right style="thin">
        <color theme="2"/>
      </right>
      <top style="thin">
        <color indexed="64"/>
      </top>
      <bottom/>
      <diagonal/>
    </border>
    <border>
      <left style="thin">
        <color theme="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2"/>
      </right>
      <top style="thin">
        <color theme="1"/>
      </top>
      <bottom style="thin">
        <color theme="2"/>
      </bottom>
      <diagonal/>
    </border>
    <border>
      <left style="thin">
        <color indexed="64"/>
      </left>
      <right style="thin">
        <color theme="2"/>
      </right>
      <top style="thin">
        <color theme="2"/>
      </top>
      <bottom style="thin">
        <color theme="1"/>
      </bottom>
      <diagonal/>
    </border>
    <border>
      <left style="thin">
        <color theme="2"/>
      </left>
      <right style="thin">
        <color indexed="64"/>
      </right>
      <top style="thin">
        <color theme="2"/>
      </top>
      <bottom style="thin">
        <color theme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6">
    <xf numFmtId="0" fontId="0" fillId="0" borderId="0" xfId="0"/>
    <xf numFmtId="0" fontId="3" fillId="0" borderId="0" xfId="0" applyFont="1" applyAlignment="1">
      <alignment vertical="center"/>
    </xf>
    <xf numFmtId="0" fontId="4" fillId="11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37" fontId="3" fillId="0" borderId="6" xfId="0" applyNumberFormat="1" applyFont="1" applyBorder="1" applyAlignment="1">
      <alignment vertical="center"/>
    </xf>
    <xf numFmtId="37" fontId="3" fillId="0" borderId="7" xfId="0" applyNumberFormat="1" applyFont="1" applyBorder="1" applyAlignment="1">
      <alignment vertical="center"/>
    </xf>
    <xf numFmtId="0" fontId="3" fillId="0" borderId="8" xfId="0" applyFont="1" applyBorder="1" applyAlignment="1">
      <alignment vertical="center"/>
    </xf>
    <xf numFmtId="37" fontId="3" fillId="0" borderId="9" xfId="0" applyNumberFormat="1" applyFont="1" applyBorder="1" applyAlignment="1">
      <alignment vertical="center"/>
    </xf>
    <xf numFmtId="37" fontId="3" fillId="0" borderId="10" xfId="0" applyNumberFormat="1" applyFont="1" applyBorder="1" applyAlignment="1">
      <alignment vertical="center"/>
    </xf>
    <xf numFmtId="10" fontId="3" fillId="0" borderId="9" xfId="1" applyNumberFormat="1" applyFont="1" applyBorder="1" applyAlignment="1">
      <alignment vertical="center"/>
    </xf>
    <xf numFmtId="10" fontId="3" fillId="0" borderId="10" xfId="1" applyNumberFormat="1" applyFont="1" applyBorder="1" applyAlignment="1">
      <alignment vertical="center"/>
    </xf>
    <xf numFmtId="39" fontId="3" fillId="0" borderId="6" xfId="0" applyNumberFormat="1" applyFont="1" applyBorder="1" applyAlignment="1">
      <alignment vertical="center"/>
    </xf>
    <xf numFmtId="39" fontId="3" fillId="0" borderId="7" xfId="0" applyNumberFormat="1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39" fontId="3" fillId="0" borderId="9" xfId="0" applyNumberFormat="1" applyFont="1" applyBorder="1" applyAlignment="1">
      <alignment vertical="center"/>
    </xf>
    <xf numFmtId="39" fontId="3" fillId="0" borderId="10" xfId="0" applyNumberFormat="1" applyFont="1" applyBorder="1" applyAlignment="1">
      <alignment vertical="center"/>
    </xf>
    <xf numFmtId="2" fontId="3" fillId="0" borderId="6" xfId="0" applyNumberFormat="1" applyFont="1" applyBorder="1" applyAlignment="1">
      <alignment horizontal="right" vertical="center"/>
    </xf>
    <xf numFmtId="2" fontId="3" fillId="0" borderId="7" xfId="0" applyNumberFormat="1" applyFont="1" applyBorder="1" applyAlignment="1">
      <alignment horizontal="right" vertical="center"/>
    </xf>
    <xf numFmtId="39" fontId="3" fillId="0" borderId="6" xfId="0" applyNumberFormat="1" applyFont="1" applyBorder="1" applyAlignment="1">
      <alignment horizontal="right" vertical="center"/>
    </xf>
    <xf numFmtId="39" fontId="3" fillId="0" borderId="7" xfId="0" applyNumberFormat="1" applyFont="1" applyBorder="1" applyAlignment="1">
      <alignment horizontal="right" vertical="center"/>
    </xf>
    <xf numFmtId="0" fontId="3" fillId="0" borderId="8" xfId="0" applyFont="1" applyBorder="1" applyAlignment="1">
      <alignment vertical="center" wrapText="1"/>
    </xf>
    <xf numFmtId="2" fontId="3" fillId="0" borderId="9" xfId="0" applyNumberFormat="1" applyFont="1" applyBorder="1" applyAlignment="1">
      <alignment horizontal="right" vertical="center"/>
    </xf>
    <xf numFmtId="2" fontId="3" fillId="0" borderId="10" xfId="0" applyNumberFormat="1" applyFont="1" applyBorder="1" applyAlignment="1">
      <alignment horizontal="right" vertical="center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0" xfId="0" applyFont="1"/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top" wrapText="1"/>
    </xf>
    <xf numFmtId="0" fontId="4" fillId="11" borderId="22" xfId="0" applyFont="1" applyFill="1" applyBorder="1" applyAlignment="1">
      <alignment horizontal="center" vertical="center" wrapText="1"/>
    </xf>
    <xf numFmtId="0" fontId="4" fillId="11" borderId="23" xfId="0" applyFont="1" applyFill="1" applyBorder="1" applyAlignment="1">
      <alignment horizontal="center" vertical="center"/>
    </xf>
    <xf numFmtId="0" fontId="4" fillId="11" borderId="23" xfId="0" applyFont="1" applyFill="1" applyBorder="1" applyAlignment="1">
      <alignment horizontal="center" vertical="center" wrapText="1"/>
    </xf>
    <xf numFmtId="0" fontId="4" fillId="11" borderId="24" xfId="0" applyFont="1" applyFill="1" applyBorder="1" applyAlignment="1">
      <alignment horizontal="center" vertical="center"/>
    </xf>
    <xf numFmtId="0" fontId="3" fillId="0" borderId="27" xfId="0" applyFont="1" applyBorder="1" applyAlignment="1">
      <alignment vertical="center" wrapText="1"/>
    </xf>
    <xf numFmtId="37" fontId="3" fillId="3" borderId="6" xfId="0" applyNumberFormat="1" applyFont="1" applyFill="1" applyBorder="1" applyAlignment="1">
      <alignment vertical="center"/>
    </xf>
    <xf numFmtId="0" fontId="3" fillId="0" borderId="29" xfId="0" applyFont="1" applyBorder="1" applyAlignment="1">
      <alignment vertical="center" wrapText="1"/>
    </xf>
    <xf numFmtId="0" fontId="3" fillId="0" borderId="30" xfId="0" applyFont="1" applyBorder="1" applyAlignment="1">
      <alignment vertical="center" wrapText="1"/>
    </xf>
    <xf numFmtId="0" fontId="3" fillId="3" borderId="6" xfId="0" applyFont="1" applyFill="1" applyBorder="1" applyAlignment="1">
      <alignment vertical="center"/>
    </xf>
    <xf numFmtId="10" fontId="3" fillId="3" borderId="6" xfId="0" applyNumberFormat="1" applyFont="1" applyFill="1" applyBorder="1" applyAlignment="1">
      <alignment vertical="center"/>
    </xf>
    <xf numFmtId="0" fontId="3" fillId="0" borderId="0" xfId="0" applyFont="1" applyAlignment="1">
      <alignment vertical="center" wrapText="1"/>
    </xf>
    <xf numFmtId="9" fontId="3" fillId="3" borderId="6" xfId="1" applyFont="1" applyFill="1" applyBorder="1" applyAlignment="1">
      <alignment vertical="center"/>
    </xf>
    <xf numFmtId="9" fontId="3" fillId="3" borderId="9" xfId="1" applyFont="1" applyFill="1" applyBorder="1" applyAlignment="1">
      <alignment vertical="center"/>
    </xf>
    <xf numFmtId="3" fontId="3" fillId="3" borderId="6" xfId="0" applyNumberFormat="1" applyFont="1" applyFill="1" applyBorder="1" applyAlignment="1">
      <alignment vertical="center"/>
    </xf>
    <xf numFmtId="2" fontId="3" fillId="0" borderId="1" xfId="0" applyNumberFormat="1" applyFont="1" applyBorder="1" applyAlignment="1">
      <alignment vertical="center"/>
    </xf>
    <xf numFmtId="0" fontId="5" fillId="10" borderId="4" xfId="0" applyFont="1" applyFill="1" applyBorder="1" applyAlignment="1">
      <alignment wrapText="1"/>
    </xf>
    <xf numFmtId="0" fontId="3" fillId="0" borderId="5" xfId="0" applyFont="1" applyBorder="1" applyAlignment="1">
      <alignment horizontal="left" vertical="center" wrapText="1"/>
    </xf>
    <xf numFmtId="2" fontId="10" fillId="0" borderId="7" xfId="0" applyNumberFormat="1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2" fontId="10" fillId="0" borderId="10" xfId="0" applyNumberFormat="1" applyFont="1" applyBorder="1" applyAlignment="1">
      <alignment horizontal="left" vertical="center" wrapText="1"/>
    </xf>
    <xf numFmtId="0" fontId="3" fillId="0" borderId="51" xfId="0" applyFont="1" applyBorder="1" applyAlignment="1">
      <alignment vertical="center"/>
    </xf>
    <xf numFmtId="0" fontId="3" fillId="0" borderId="51" xfId="0" applyFont="1" applyBorder="1" applyAlignment="1">
      <alignment vertical="center" wrapText="1"/>
    </xf>
    <xf numFmtId="0" fontId="3" fillId="0" borderId="5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4" fillId="0" borderId="5" xfId="0" applyFont="1" applyBorder="1" applyAlignment="1">
      <alignment horizontal="left" vertical="center" wrapText="1"/>
    </xf>
    <xf numFmtId="0" fontId="3" fillId="0" borderId="28" xfId="0" applyFont="1" applyBorder="1" applyAlignment="1">
      <alignment horizontal="center" vertical="center"/>
    </xf>
    <xf numFmtId="0" fontId="3" fillId="0" borderId="55" xfId="0" applyFont="1" applyBorder="1" applyAlignment="1">
      <alignment vertical="center" wrapText="1"/>
    </xf>
    <xf numFmtId="37" fontId="3" fillId="17" borderId="6" xfId="0" applyNumberFormat="1" applyFont="1" applyFill="1" applyBorder="1" applyAlignment="1">
      <alignment vertical="center"/>
    </xf>
    <xf numFmtId="0" fontId="3" fillId="17" borderId="6" xfId="0" applyFont="1" applyFill="1" applyBorder="1" applyAlignment="1">
      <alignment vertical="center"/>
    </xf>
    <xf numFmtId="10" fontId="3" fillId="17" borderId="6" xfId="0" applyNumberFormat="1" applyFont="1" applyFill="1" applyBorder="1" applyAlignment="1">
      <alignment vertical="center"/>
    </xf>
    <xf numFmtId="0" fontId="3" fillId="0" borderId="33" xfId="0" applyFont="1" applyBorder="1" applyAlignment="1">
      <alignment vertical="center" wrapText="1"/>
    </xf>
    <xf numFmtId="3" fontId="3" fillId="17" borderId="6" xfId="0" applyNumberFormat="1" applyFont="1" applyFill="1" applyBorder="1" applyAlignment="1">
      <alignment vertical="center"/>
    </xf>
    <xf numFmtId="3" fontId="3" fillId="3" borderId="30" xfId="0" applyNumberFormat="1" applyFont="1" applyFill="1" applyBorder="1" applyAlignment="1">
      <alignment vertical="center"/>
    </xf>
    <xf numFmtId="3" fontId="3" fillId="17" borderId="30" xfId="0" applyNumberFormat="1" applyFont="1" applyFill="1" applyBorder="1" applyAlignment="1">
      <alignment vertical="center"/>
    </xf>
    <xf numFmtId="0" fontId="3" fillId="0" borderId="59" xfId="0" applyFont="1" applyBorder="1" applyAlignment="1">
      <alignment vertical="center" wrapText="1"/>
    </xf>
    <xf numFmtId="0" fontId="3" fillId="0" borderId="60" xfId="0" applyFont="1" applyBorder="1" applyAlignment="1">
      <alignment vertical="center"/>
    </xf>
    <xf numFmtId="0" fontId="3" fillId="0" borderId="60" xfId="0" applyFont="1" applyBorder="1" applyAlignment="1">
      <alignment vertical="center" wrapText="1"/>
    </xf>
    <xf numFmtId="0" fontId="3" fillId="0" borderId="61" xfId="0" applyFont="1" applyBorder="1" applyAlignment="1">
      <alignment vertical="center"/>
    </xf>
    <xf numFmtId="0" fontId="0" fillId="0" borderId="6" xfId="0" applyBorder="1"/>
    <xf numFmtId="37" fontId="3" fillId="3" borderId="30" xfId="0" applyNumberFormat="1" applyFont="1" applyFill="1" applyBorder="1" applyAlignment="1">
      <alignment vertical="center"/>
    </xf>
    <xf numFmtId="0" fontId="0" fillId="0" borderId="30" xfId="0" applyBorder="1"/>
    <xf numFmtId="0" fontId="3" fillId="0" borderId="31" xfId="0" applyFont="1" applyBorder="1" applyAlignment="1">
      <alignment horizontal="center" vertical="center"/>
    </xf>
    <xf numFmtId="0" fontId="3" fillId="0" borderId="65" xfId="0" applyFont="1" applyBorder="1" applyAlignment="1">
      <alignment vertical="center" wrapText="1"/>
    </xf>
    <xf numFmtId="0" fontId="3" fillId="3" borderId="33" xfId="0" applyFont="1" applyFill="1" applyBorder="1" applyAlignment="1">
      <alignment vertical="center"/>
    </xf>
    <xf numFmtId="0" fontId="0" fillId="0" borderId="33" xfId="0" applyBorder="1"/>
    <xf numFmtId="0" fontId="3" fillId="0" borderId="66" xfId="0" applyFont="1" applyBorder="1" applyAlignment="1">
      <alignment vertical="center" wrapText="1"/>
    </xf>
    <xf numFmtId="0" fontId="3" fillId="3" borderId="30" xfId="0" applyFon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17" fontId="3" fillId="0" borderId="28" xfId="0" applyNumberFormat="1" applyFont="1" applyBorder="1" applyAlignment="1">
      <alignment horizontal="center" vertical="center"/>
    </xf>
    <xf numFmtId="17" fontId="3" fillId="0" borderId="31" xfId="0" applyNumberFormat="1" applyFont="1" applyBorder="1" applyAlignment="1">
      <alignment horizontal="center" vertical="center"/>
    </xf>
    <xf numFmtId="17" fontId="3" fillId="0" borderId="7" xfId="0" applyNumberFormat="1" applyFont="1" applyBorder="1" applyAlignment="1">
      <alignment horizontal="center" vertical="center"/>
    </xf>
    <xf numFmtId="17" fontId="3" fillId="0" borderId="10" xfId="0" applyNumberFormat="1" applyFont="1" applyBorder="1" applyAlignment="1">
      <alignment horizontal="center" vertical="center"/>
    </xf>
    <xf numFmtId="15" fontId="3" fillId="0" borderId="34" xfId="0" applyNumberFormat="1" applyFont="1" applyBorder="1" applyAlignment="1">
      <alignment horizontal="center" vertical="center"/>
    </xf>
    <xf numFmtId="15" fontId="3" fillId="0" borderId="7" xfId="0" applyNumberFormat="1" applyFont="1" applyBorder="1" applyAlignment="1">
      <alignment horizontal="center" vertical="center"/>
    </xf>
    <xf numFmtId="17" fontId="3" fillId="0" borderId="67" xfId="0" applyNumberFormat="1" applyFont="1" applyBorder="1" applyAlignment="1">
      <alignment horizontal="center" vertical="center"/>
    </xf>
    <xf numFmtId="37" fontId="3" fillId="17" borderId="6" xfId="0" applyNumberFormat="1" applyFont="1" applyFill="1" applyBorder="1" applyAlignment="1">
      <alignment horizontal="center" vertical="center"/>
    </xf>
    <xf numFmtId="37" fontId="3" fillId="17" borderId="30" xfId="0" applyNumberFormat="1" applyFont="1" applyFill="1" applyBorder="1" applyAlignment="1">
      <alignment horizontal="center" vertical="center"/>
    </xf>
    <xf numFmtId="1" fontId="3" fillId="17" borderId="6" xfId="0" applyNumberFormat="1" applyFont="1" applyFill="1" applyBorder="1" applyAlignment="1">
      <alignment horizontal="center" vertical="center"/>
    </xf>
    <xf numFmtId="1" fontId="0" fillId="0" borderId="6" xfId="0" applyNumberFormat="1" applyBorder="1" applyAlignment="1">
      <alignment horizontal="center"/>
    </xf>
    <xf numFmtId="1" fontId="3" fillId="17" borderId="30" xfId="0" applyNumberFormat="1" applyFont="1" applyFill="1" applyBorder="1" applyAlignment="1">
      <alignment horizontal="center" vertical="center"/>
    </xf>
    <xf numFmtId="1" fontId="3" fillId="17" borderId="6" xfId="1" applyNumberFormat="1" applyFont="1" applyFill="1" applyBorder="1" applyAlignment="1">
      <alignment horizontal="center" vertical="center"/>
    </xf>
    <xf numFmtId="1" fontId="0" fillId="0" borderId="9" xfId="0" applyNumberFormat="1" applyBorder="1" applyAlignment="1">
      <alignment horizontal="center"/>
    </xf>
    <xf numFmtId="0" fontId="3" fillId="17" borderId="33" xfId="0" applyFont="1" applyFill="1" applyBorder="1" applyAlignment="1">
      <alignment horizontal="center" vertical="center"/>
    </xf>
    <xf numFmtId="0" fontId="3" fillId="17" borderId="6" xfId="0" applyFont="1" applyFill="1" applyBorder="1" applyAlignment="1">
      <alignment horizontal="center" vertical="center"/>
    </xf>
    <xf numFmtId="0" fontId="3" fillId="17" borderId="30" xfId="0" applyFont="1" applyFill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64" fontId="3" fillId="3" borderId="6" xfId="1" applyNumberFormat="1" applyFont="1" applyFill="1" applyBorder="1" applyAlignment="1">
      <alignment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37" fontId="3" fillId="0" borderId="6" xfId="0" applyNumberFormat="1" applyFont="1" applyBorder="1" applyAlignment="1">
      <alignment vertical="center" wrapText="1"/>
    </xf>
    <xf numFmtId="37" fontId="3" fillId="0" borderId="7" xfId="0" applyNumberFormat="1" applyFont="1" applyBorder="1" applyAlignment="1">
      <alignment vertical="center" wrapText="1"/>
    </xf>
    <xf numFmtId="37" fontId="3" fillId="0" borderId="56" xfId="0" applyNumberFormat="1" applyFont="1" applyBorder="1" applyAlignment="1">
      <alignment vertical="center" wrapText="1"/>
    </xf>
    <xf numFmtId="37" fontId="3" fillId="0" borderId="57" xfId="0" applyNumberFormat="1" applyFont="1" applyBorder="1" applyAlignment="1">
      <alignment vertical="center" wrapText="1"/>
    </xf>
    <xf numFmtId="10" fontId="3" fillId="0" borderId="6" xfId="1" applyNumberFormat="1" applyFont="1" applyBorder="1" applyAlignment="1">
      <alignment vertical="center" wrapText="1"/>
    </xf>
    <xf numFmtId="10" fontId="3" fillId="0" borderId="7" xfId="1" applyNumberFormat="1" applyFont="1" applyBorder="1" applyAlignment="1">
      <alignment vertical="center" wrapText="1"/>
    </xf>
    <xf numFmtId="39" fontId="3" fillId="0" borderId="6" xfId="0" applyNumberFormat="1" applyFont="1" applyBorder="1" applyAlignment="1">
      <alignment vertical="center" wrapText="1"/>
    </xf>
    <xf numFmtId="39" fontId="3" fillId="0" borderId="7" xfId="0" applyNumberFormat="1" applyFont="1" applyBorder="1" applyAlignment="1">
      <alignment vertical="center" wrapText="1"/>
    </xf>
    <xf numFmtId="0" fontId="4" fillId="6" borderId="5" xfId="0" applyFont="1" applyFill="1" applyBorder="1" applyAlignment="1">
      <alignment vertical="center"/>
    </xf>
    <xf numFmtId="0" fontId="3" fillId="6" borderId="5" xfId="0" applyFont="1" applyFill="1" applyBorder="1" applyAlignment="1">
      <alignment vertical="center"/>
    </xf>
    <xf numFmtId="0" fontId="3" fillId="6" borderId="8" xfId="0" applyFont="1" applyFill="1" applyBorder="1" applyAlignment="1">
      <alignment vertical="center"/>
    </xf>
    <xf numFmtId="9" fontId="5" fillId="8" borderId="5" xfId="0" applyNumberFormat="1" applyFont="1" applyFill="1" applyBorder="1" applyAlignment="1">
      <alignment horizontal="center" vertical="center"/>
    </xf>
    <xf numFmtId="9" fontId="5" fillId="8" borderId="6" xfId="0" applyNumberFormat="1" applyFont="1" applyFill="1" applyBorder="1" applyAlignment="1">
      <alignment horizontal="center" vertical="center"/>
    </xf>
    <xf numFmtId="9" fontId="5" fillId="8" borderId="7" xfId="0" applyNumberFormat="1" applyFont="1" applyFill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2" fontId="3" fillId="0" borderId="53" xfId="0" applyNumberFormat="1" applyFont="1" applyBorder="1" applyAlignment="1">
      <alignment horizontal="center" vertical="center"/>
    </xf>
    <xf numFmtId="2" fontId="3" fillId="0" borderId="54" xfId="0" applyNumberFormat="1" applyFont="1" applyBorder="1" applyAlignment="1">
      <alignment horizontal="center" vertical="center"/>
    </xf>
    <xf numFmtId="9" fontId="5" fillId="8" borderId="3" xfId="0" applyNumberFormat="1" applyFont="1" applyFill="1" applyBorder="1" applyAlignment="1">
      <alignment horizontal="center" vertical="center"/>
    </xf>
    <xf numFmtId="9" fontId="5" fillId="8" borderId="9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 wrapText="1"/>
    </xf>
    <xf numFmtId="0" fontId="8" fillId="8" borderId="5" xfId="0" applyFont="1" applyFill="1" applyBorder="1" applyAlignment="1">
      <alignment horizontal="center" vertical="center" wrapText="1"/>
    </xf>
    <xf numFmtId="0" fontId="8" fillId="8" borderId="8" xfId="0" applyFont="1" applyFill="1" applyBorder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/>
    </xf>
    <xf numFmtId="0" fontId="9" fillId="12" borderId="2" xfId="0" applyFont="1" applyFill="1" applyBorder="1"/>
    <xf numFmtId="0" fontId="9" fillId="12" borderId="3" xfId="0" applyFont="1" applyFill="1" applyBorder="1"/>
    <xf numFmtId="0" fontId="9" fillId="12" borderId="3" xfId="0" applyFont="1" applyFill="1" applyBorder="1" applyAlignment="1">
      <alignment horizontal="left"/>
    </xf>
    <xf numFmtId="0" fontId="9" fillId="12" borderId="4" xfId="0" applyFont="1" applyFill="1" applyBorder="1" applyAlignment="1">
      <alignment horizontal="left"/>
    </xf>
    <xf numFmtId="0" fontId="9" fillId="13" borderId="5" xfId="0" applyFont="1" applyFill="1" applyBorder="1"/>
    <xf numFmtId="0" fontId="9" fillId="13" borderId="6" xfId="0" applyFont="1" applyFill="1" applyBorder="1"/>
    <xf numFmtId="0" fontId="9" fillId="13" borderId="6" xfId="0" applyFont="1" applyFill="1" applyBorder="1" applyAlignment="1">
      <alignment horizontal="left"/>
    </xf>
    <xf numFmtId="0" fontId="9" fillId="13" borderId="7" xfId="0" applyFont="1" applyFill="1" applyBorder="1" applyAlignment="1">
      <alignment horizontal="left"/>
    </xf>
    <xf numFmtId="0" fontId="9" fillId="14" borderId="8" xfId="0" applyFont="1" applyFill="1" applyBorder="1"/>
    <xf numFmtId="0" fontId="9" fillId="14" borderId="9" xfId="0" applyFont="1" applyFill="1" applyBorder="1"/>
    <xf numFmtId="0" fontId="9" fillId="14" borderId="9" xfId="0" applyFont="1" applyFill="1" applyBorder="1" applyAlignment="1">
      <alignment horizontal="left"/>
    </xf>
    <xf numFmtId="0" fontId="9" fillId="14" borderId="10" xfId="0" applyFont="1" applyFill="1" applyBorder="1" applyAlignment="1">
      <alignment horizontal="left"/>
    </xf>
    <xf numFmtId="0" fontId="5" fillId="10" borderId="2" xfId="0" applyFont="1" applyFill="1" applyBorder="1" applyAlignment="1">
      <alignment horizontal="center" wrapText="1"/>
    </xf>
    <xf numFmtId="0" fontId="5" fillId="10" borderId="3" xfId="0" applyFont="1" applyFill="1" applyBorder="1" applyAlignment="1">
      <alignment horizont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17" fontId="3" fillId="0" borderId="6" xfId="0" applyNumberFormat="1" applyFont="1" applyBorder="1" applyAlignment="1">
      <alignment horizontal="center" vertical="center"/>
    </xf>
    <xf numFmtId="17" fontId="3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8" fillId="16" borderId="0" xfId="0" applyFont="1" applyFill="1" applyAlignment="1">
      <alignment horizontal="center" vertical="center"/>
    </xf>
    <xf numFmtId="0" fontId="7" fillId="16" borderId="0" xfId="0" applyFont="1" applyFill="1" applyAlignment="1">
      <alignment horizontal="center" vertical="center"/>
    </xf>
    <xf numFmtId="0" fontId="3" fillId="0" borderId="38" xfId="0" applyFont="1" applyBorder="1" applyAlignment="1">
      <alignment vertical="center" wrapText="1"/>
    </xf>
    <xf numFmtId="0" fontId="3" fillId="0" borderId="39" xfId="0" applyFont="1" applyBorder="1" applyAlignment="1">
      <alignment vertical="center" wrapText="1"/>
    </xf>
    <xf numFmtId="0" fontId="3" fillId="0" borderId="40" xfId="0" applyFont="1" applyBorder="1" applyAlignment="1">
      <alignment vertical="center" wrapText="1"/>
    </xf>
    <xf numFmtId="0" fontId="3" fillId="18" borderId="41" xfId="0" applyFont="1" applyFill="1" applyBorder="1" applyAlignment="1">
      <alignment vertical="center" wrapText="1"/>
    </xf>
    <xf numFmtId="0" fontId="3" fillId="18" borderId="42" xfId="0" applyFont="1" applyFill="1" applyBorder="1" applyAlignment="1">
      <alignment vertical="center" wrapText="1"/>
    </xf>
    <xf numFmtId="0" fontId="3" fillId="18" borderId="43" xfId="0" applyFont="1" applyFill="1" applyBorder="1" applyAlignment="1">
      <alignment vertical="center" wrapText="1"/>
    </xf>
    <xf numFmtId="0" fontId="5" fillId="4" borderId="35" xfId="0" applyFont="1" applyFill="1" applyBorder="1" applyAlignment="1">
      <alignment horizontal="center" vertical="center"/>
    </xf>
    <xf numFmtId="0" fontId="5" fillId="4" borderId="36" xfId="0" applyFont="1" applyFill="1" applyBorder="1" applyAlignment="1">
      <alignment horizontal="center" vertical="center"/>
    </xf>
    <xf numFmtId="0" fontId="5" fillId="4" borderId="37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wrapText="1"/>
    </xf>
    <xf numFmtId="0" fontId="3" fillId="0" borderId="49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5" fillId="4" borderId="44" xfId="0" applyFont="1" applyFill="1" applyBorder="1" applyAlignment="1">
      <alignment horizontal="center" vertical="center"/>
    </xf>
    <xf numFmtId="0" fontId="5" fillId="4" borderId="45" xfId="0" applyFont="1" applyFill="1" applyBorder="1" applyAlignment="1">
      <alignment horizontal="center" vertical="center"/>
    </xf>
    <xf numFmtId="0" fontId="5" fillId="4" borderId="46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47" xfId="0" applyFont="1" applyBorder="1" applyAlignment="1">
      <alignment horizontal="left" vertical="center" wrapText="1"/>
    </xf>
    <xf numFmtId="0" fontId="3" fillId="0" borderId="39" xfId="0" applyFont="1" applyBorder="1" applyAlignment="1">
      <alignment horizontal="left" vertical="center" wrapText="1"/>
    </xf>
    <xf numFmtId="0" fontId="3" fillId="0" borderId="48" xfId="0" applyFont="1" applyBorder="1" applyAlignment="1">
      <alignment horizontal="left" vertical="center" wrapText="1"/>
    </xf>
    <xf numFmtId="0" fontId="3" fillId="0" borderId="47" xfId="0" applyFont="1" applyBorder="1" applyAlignment="1">
      <alignment horizontal="left" vertical="top" wrapText="1"/>
    </xf>
    <xf numFmtId="0" fontId="3" fillId="0" borderId="39" xfId="0" applyFont="1" applyBorder="1" applyAlignment="1">
      <alignment horizontal="left" vertical="top" wrapText="1"/>
    </xf>
    <xf numFmtId="0" fontId="3" fillId="0" borderId="48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18" borderId="50" xfId="0" applyFont="1" applyFill="1" applyBorder="1" applyAlignment="1">
      <alignment horizontal="left" vertical="top" wrapText="1"/>
    </xf>
    <xf numFmtId="0" fontId="3" fillId="18" borderId="51" xfId="0" applyFont="1" applyFill="1" applyBorder="1" applyAlignment="1">
      <alignment horizontal="left" vertical="top" wrapText="1"/>
    </xf>
    <xf numFmtId="0" fontId="3" fillId="18" borderId="52" xfId="0" applyFont="1" applyFill="1" applyBorder="1" applyAlignment="1">
      <alignment horizontal="left" vertical="top" wrapText="1"/>
    </xf>
    <xf numFmtId="0" fontId="5" fillId="2" borderId="62" xfId="0" applyFont="1" applyFill="1" applyBorder="1" applyAlignment="1">
      <alignment horizontal="center" vertical="center" wrapText="1"/>
    </xf>
    <xf numFmtId="0" fontId="5" fillId="2" borderId="63" xfId="0" applyFont="1" applyFill="1" applyBorder="1" applyAlignment="1">
      <alignment horizontal="center" vertical="center" wrapText="1"/>
    </xf>
    <xf numFmtId="0" fontId="5" fillId="2" borderId="6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2" borderId="33" xfId="0" applyFont="1" applyFill="1" applyBorder="1" applyAlignment="1">
      <alignment horizontal="center" vertical="center" wrapText="1"/>
    </xf>
    <xf numFmtId="0" fontId="5" fillId="2" borderId="58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13" fillId="0" borderId="22" xfId="0" applyFont="1" applyBorder="1" applyAlignment="1">
      <alignment horizontal="left" vertical="center" wrapText="1"/>
    </xf>
    <xf numFmtId="0" fontId="13" fillId="0" borderId="23" xfId="0" applyFont="1" applyBorder="1" applyAlignment="1">
      <alignment horizontal="left" vertical="center" wrapText="1"/>
    </xf>
    <xf numFmtId="0" fontId="13" fillId="0" borderId="24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3" fillId="7" borderId="6" xfId="0" applyFont="1" applyFill="1" applyBorder="1" applyAlignment="1">
      <alignment horizontal="left" vertical="top" wrapText="1"/>
    </xf>
    <xf numFmtId="0" fontId="3" fillId="6" borderId="6" xfId="0" applyFont="1" applyFill="1" applyBorder="1" applyAlignment="1">
      <alignment horizontal="left" vertical="top" wrapText="1"/>
    </xf>
    <xf numFmtId="0" fontId="3" fillId="6" borderId="7" xfId="0" applyFont="1" applyFill="1" applyBorder="1" applyAlignment="1">
      <alignment horizontal="left" vertical="top" wrapText="1"/>
    </xf>
    <xf numFmtId="0" fontId="8" fillId="5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left" vertical="top" wrapText="1"/>
    </xf>
    <xf numFmtId="0" fontId="3" fillId="6" borderId="10" xfId="0" applyFont="1" applyFill="1" applyBorder="1" applyAlignment="1">
      <alignment horizontal="left" vertical="top" wrapText="1"/>
    </xf>
    <xf numFmtId="0" fontId="2" fillId="5" borderId="0" xfId="0" applyFont="1" applyFill="1" applyAlignment="1">
      <alignment horizontal="center" vertical="center"/>
    </xf>
    <xf numFmtId="0" fontId="3" fillId="7" borderId="9" xfId="0" applyFont="1" applyFill="1" applyBorder="1" applyAlignment="1">
      <alignment horizontal="left" vertical="top" wrapText="1"/>
    </xf>
    <xf numFmtId="0" fontId="4" fillId="6" borderId="6" xfId="0" applyFont="1" applyFill="1" applyBorder="1" applyAlignment="1">
      <alignment vertical="center"/>
    </xf>
    <xf numFmtId="0" fontId="4" fillId="6" borderId="7" xfId="0" applyFont="1" applyFill="1" applyBorder="1" applyAlignment="1">
      <alignment vertical="center"/>
    </xf>
    <xf numFmtId="0" fontId="4" fillId="7" borderId="6" xfId="0" applyFont="1" applyFill="1" applyBorder="1" applyAlignment="1">
      <alignment vertical="center"/>
    </xf>
    <xf numFmtId="0" fontId="3" fillId="7" borderId="49" xfId="0" applyFont="1" applyFill="1" applyBorder="1" applyAlignment="1">
      <alignment horizontal="left" vertical="center" wrapText="1"/>
    </xf>
    <xf numFmtId="0" fontId="3" fillId="7" borderId="20" xfId="0" applyFont="1" applyFill="1" applyBorder="1" applyAlignment="1">
      <alignment horizontal="left" vertical="center" wrapText="1"/>
    </xf>
    <xf numFmtId="0" fontId="3" fillId="7" borderId="21" xfId="0" applyFont="1" applyFill="1" applyBorder="1" applyAlignment="1">
      <alignment horizontal="left" vertical="center" wrapText="1"/>
    </xf>
    <xf numFmtId="0" fontId="8" fillId="5" borderId="44" xfId="0" applyFont="1" applyFill="1" applyBorder="1" applyAlignment="1">
      <alignment horizontal="center" vertical="center"/>
    </xf>
    <xf numFmtId="0" fontId="8" fillId="5" borderId="45" xfId="0" applyFont="1" applyFill="1" applyBorder="1" applyAlignment="1">
      <alignment horizontal="center" vertical="center"/>
    </xf>
    <xf numFmtId="0" fontId="8" fillId="5" borderId="46" xfId="0" applyFont="1" applyFill="1" applyBorder="1" applyAlignment="1">
      <alignment horizontal="center" vertical="center"/>
    </xf>
    <xf numFmtId="0" fontId="3" fillId="7" borderId="47" xfId="0" applyFont="1" applyFill="1" applyBorder="1" applyAlignment="1">
      <alignment horizontal="left" vertical="center" wrapText="1"/>
    </xf>
    <xf numFmtId="0" fontId="3" fillId="7" borderId="39" xfId="0" applyFont="1" applyFill="1" applyBorder="1" applyAlignment="1">
      <alignment horizontal="left" vertical="center" wrapText="1"/>
    </xf>
    <xf numFmtId="0" fontId="3" fillId="7" borderId="48" xfId="0" applyFont="1" applyFill="1" applyBorder="1" applyAlignment="1">
      <alignment horizontal="left" vertical="center" wrapText="1"/>
    </xf>
    <xf numFmtId="0" fontId="8" fillId="8" borderId="11" xfId="0" applyFont="1" applyFill="1" applyBorder="1" applyAlignment="1">
      <alignment horizontal="center" vertical="center"/>
    </xf>
    <xf numFmtId="0" fontId="8" fillId="8" borderId="12" xfId="0" applyFont="1" applyFill="1" applyBorder="1" applyAlignment="1">
      <alignment horizontal="center" vertical="center"/>
    </xf>
    <xf numFmtId="0" fontId="8" fillId="8" borderId="13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10" fontId="3" fillId="0" borderId="19" xfId="1" applyNumberFormat="1" applyFont="1" applyBorder="1" applyAlignment="1">
      <alignment horizontal="center" vertical="center"/>
    </xf>
    <xf numFmtId="10" fontId="3" fillId="0" borderId="20" xfId="1" applyNumberFormat="1" applyFont="1" applyBorder="1" applyAlignment="1">
      <alignment horizontal="center" vertical="center"/>
    </xf>
    <xf numFmtId="10" fontId="3" fillId="0" borderId="21" xfId="1" applyNumberFormat="1" applyFont="1" applyBorder="1" applyAlignment="1">
      <alignment horizontal="center" vertical="center"/>
    </xf>
    <xf numFmtId="0" fontId="3" fillId="15" borderId="14" xfId="0" applyFont="1" applyFill="1" applyBorder="1" applyAlignment="1">
      <alignment vertical="center" wrapText="1"/>
    </xf>
    <xf numFmtId="0" fontId="3" fillId="15" borderId="0" xfId="0" applyFont="1" applyFill="1" applyAlignment="1">
      <alignment vertical="center" wrapText="1"/>
    </xf>
    <xf numFmtId="0" fontId="3" fillId="15" borderId="15" xfId="0" applyFont="1" applyFill="1" applyBorder="1" applyAlignment="1">
      <alignment vertical="center" wrapText="1"/>
    </xf>
    <xf numFmtId="0" fontId="3" fillId="15" borderId="16" xfId="0" applyFont="1" applyFill="1" applyBorder="1" applyAlignment="1">
      <alignment vertical="center" wrapText="1"/>
    </xf>
    <xf numFmtId="0" fontId="3" fillId="15" borderId="17" xfId="0" applyFont="1" applyFill="1" applyBorder="1" applyAlignment="1">
      <alignment vertical="center" wrapText="1"/>
    </xf>
    <xf numFmtId="0" fontId="3" fillId="15" borderId="18" xfId="0" applyFont="1" applyFill="1" applyBorder="1" applyAlignment="1">
      <alignment vertical="center" wrapText="1"/>
    </xf>
    <xf numFmtId="0" fontId="5" fillId="9" borderId="2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3C7D22"/>
      <color rgb="FFFFEC9C"/>
      <color rgb="FFFFC7CE"/>
      <color rgb="FFC6F0CE"/>
      <color rgb="FFEAE387"/>
      <color rgb="FFECE7A3"/>
      <color rgb="FFEAECAB"/>
      <color rgb="FFECFD00"/>
      <color rgb="FFFFF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3C219-B585-E544-9AE0-3F8818010A06}">
  <sheetPr>
    <tabColor theme="0" tint="-0.249977111117893"/>
  </sheetPr>
  <dimension ref="A1:G41"/>
  <sheetViews>
    <sheetView showGridLines="0" zoomScale="116" zoomScaleNormal="116" workbookViewId="0">
      <selection activeCell="F46" sqref="F46"/>
    </sheetView>
  </sheetViews>
  <sheetFormatPr baseColWidth="10" defaultRowHeight="16" x14ac:dyDescent="0.2"/>
  <cols>
    <col min="1" max="1" width="32.33203125" style="29" customWidth="1"/>
    <col min="2" max="6" width="15.83203125" style="29" customWidth="1"/>
    <col min="7" max="7" width="13.1640625" style="29" customWidth="1"/>
    <col min="8" max="16384" width="10.83203125" style="29"/>
  </cols>
  <sheetData>
    <row r="1" spans="1:7" s="1" customFormat="1" ht="19" x14ac:dyDescent="0.2">
      <c r="A1" s="159" t="s">
        <v>125</v>
      </c>
      <c r="B1" s="159"/>
      <c r="C1" s="159"/>
      <c r="D1" s="159"/>
      <c r="E1" s="159"/>
      <c r="F1" s="159"/>
      <c r="G1" s="159"/>
    </row>
    <row r="2" spans="1:7" s="1" customFormat="1" x14ac:dyDescent="0.2">
      <c r="A2" s="160" t="s">
        <v>96</v>
      </c>
      <c r="B2" s="160"/>
      <c r="C2" s="160"/>
      <c r="D2" s="160"/>
      <c r="E2" s="160"/>
      <c r="F2" s="160"/>
      <c r="G2" s="160"/>
    </row>
    <row r="3" spans="1:7" s="1" customFormat="1" x14ac:dyDescent="0.2"/>
    <row r="4" spans="1:7" s="1" customFormat="1" x14ac:dyDescent="0.2">
      <c r="A4" s="167" t="s">
        <v>97</v>
      </c>
      <c r="B4" s="168"/>
      <c r="C4" s="168"/>
      <c r="D4" s="168"/>
      <c r="E4" s="168"/>
      <c r="F4" s="168"/>
      <c r="G4" s="169"/>
    </row>
    <row r="5" spans="1:7" s="1" customFormat="1" ht="88" customHeight="1" x14ac:dyDescent="0.2">
      <c r="A5" s="161" t="s">
        <v>137</v>
      </c>
      <c r="B5" s="162"/>
      <c r="C5" s="162"/>
      <c r="D5" s="162"/>
      <c r="E5" s="162"/>
      <c r="F5" s="162"/>
      <c r="G5" s="163"/>
    </row>
    <row r="6" spans="1:7" s="1" customFormat="1" ht="43" customHeight="1" x14ac:dyDescent="0.2">
      <c r="A6" s="164" t="s">
        <v>252</v>
      </c>
      <c r="B6" s="165"/>
      <c r="C6" s="165"/>
      <c r="D6" s="165"/>
      <c r="E6" s="165"/>
      <c r="F6" s="165"/>
      <c r="G6" s="166"/>
    </row>
    <row r="7" spans="1:7" s="1" customFormat="1" x14ac:dyDescent="0.2"/>
    <row r="8" spans="1:7" s="1" customFormat="1" x14ac:dyDescent="0.2">
      <c r="A8" s="170" t="s">
        <v>98</v>
      </c>
      <c r="B8" s="171"/>
      <c r="C8" s="171"/>
      <c r="D8" s="171"/>
      <c r="E8" s="171"/>
      <c r="F8" s="171"/>
      <c r="G8" s="172"/>
    </row>
    <row r="9" spans="1:7" s="1" customFormat="1" ht="21" customHeight="1" x14ac:dyDescent="0.2">
      <c r="A9" s="57" t="s">
        <v>199</v>
      </c>
      <c r="B9" s="154" t="s">
        <v>200</v>
      </c>
      <c r="C9" s="154"/>
      <c r="D9" s="154"/>
      <c r="E9" s="154"/>
      <c r="F9" s="154"/>
      <c r="G9" s="155"/>
    </row>
    <row r="10" spans="1:7" s="1" customFormat="1" ht="21" customHeight="1" x14ac:dyDescent="0.2">
      <c r="A10" s="5" t="s">
        <v>99</v>
      </c>
      <c r="B10" s="151" t="s">
        <v>138</v>
      </c>
      <c r="C10" s="151"/>
      <c r="D10" s="151"/>
      <c r="E10" s="151"/>
      <c r="F10" s="151"/>
      <c r="G10" s="173"/>
    </row>
    <row r="11" spans="1:7" s="1" customFormat="1" ht="40" customHeight="1" x14ac:dyDescent="0.2">
      <c r="A11" s="5" t="s">
        <v>100</v>
      </c>
      <c r="B11" s="184" t="s">
        <v>139</v>
      </c>
      <c r="C11" s="184"/>
      <c r="D11" s="184"/>
      <c r="E11" s="184"/>
      <c r="F11" s="184"/>
      <c r="G11" s="185"/>
    </row>
    <row r="12" spans="1:7" s="1" customFormat="1" x14ac:dyDescent="0.2">
      <c r="A12" s="5" t="s">
        <v>101</v>
      </c>
      <c r="B12" s="184" t="s">
        <v>102</v>
      </c>
      <c r="C12" s="184"/>
      <c r="D12" s="184"/>
      <c r="E12" s="184"/>
      <c r="F12" s="184"/>
      <c r="G12" s="185"/>
    </row>
    <row r="13" spans="1:7" s="1" customFormat="1" ht="38" customHeight="1" x14ac:dyDescent="0.2">
      <c r="A13" s="5" t="s">
        <v>103</v>
      </c>
      <c r="B13" s="184" t="s">
        <v>140</v>
      </c>
      <c r="C13" s="184"/>
      <c r="D13" s="184"/>
      <c r="E13" s="184"/>
      <c r="F13" s="184"/>
      <c r="G13" s="185"/>
    </row>
    <row r="14" spans="1:7" s="1" customFormat="1" ht="38" customHeight="1" x14ac:dyDescent="0.2">
      <c r="A14" s="8" t="s">
        <v>104</v>
      </c>
      <c r="B14" s="186" t="s">
        <v>141</v>
      </c>
      <c r="C14" s="186"/>
      <c r="D14" s="186"/>
      <c r="E14" s="186"/>
      <c r="F14" s="186"/>
      <c r="G14" s="187"/>
    </row>
    <row r="15" spans="1:7" s="1" customFormat="1" x14ac:dyDescent="0.2"/>
    <row r="16" spans="1:7" s="1" customFormat="1" x14ac:dyDescent="0.2">
      <c r="A16" s="170" t="s">
        <v>105</v>
      </c>
      <c r="B16" s="171"/>
      <c r="C16" s="171"/>
      <c r="D16" s="171"/>
      <c r="E16" s="171"/>
      <c r="F16" s="171"/>
      <c r="G16" s="172"/>
    </row>
    <row r="17" spans="1:7" s="1" customFormat="1" ht="53" customHeight="1" x14ac:dyDescent="0.2">
      <c r="A17" s="55" t="s">
        <v>106</v>
      </c>
      <c r="B17" s="151" t="s">
        <v>142</v>
      </c>
      <c r="C17" s="151"/>
      <c r="D17" s="151"/>
      <c r="E17" s="151"/>
      <c r="F17" s="151"/>
      <c r="G17" s="173"/>
    </row>
    <row r="18" spans="1:7" s="1" customFormat="1" ht="51" customHeight="1" x14ac:dyDescent="0.2">
      <c r="A18" s="55" t="s">
        <v>107</v>
      </c>
      <c r="B18" s="151" t="s">
        <v>143</v>
      </c>
      <c r="C18" s="151"/>
      <c r="D18" s="151"/>
      <c r="E18" s="151"/>
      <c r="F18" s="151"/>
      <c r="G18" s="173"/>
    </row>
    <row r="19" spans="1:7" s="1" customFormat="1" ht="54" customHeight="1" x14ac:dyDescent="0.2">
      <c r="A19" s="55" t="s">
        <v>108</v>
      </c>
      <c r="B19" s="151" t="s">
        <v>144</v>
      </c>
      <c r="C19" s="151"/>
      <c r="D19" s="151"/>
      <c r="E19" s="151"/>
      <c r="F19" s="151"/>
      <c r="G19" s="173"/>
    </row>
    <row r="20" spans="1:7" s="1" customFormat="1" ht="39" customHeight="1" x14ac:dyDescent="0.2">
      <c r="A20" s="55" t="s">
        <v>109</v>
      </c>
      <c r="B20" s="151" t="s">
        <v>110</v>
      </c>
      <c r="C20" s="151"/>
      <c r="D20" s="151"/>
      <c r="E20" s="151"/>
      <c r="F20" s="151"/>
      <c r="G20" s="173"/>
    </row>
    <row r="21" spans="1:7" s="1" customFormat="1" ht="52" customHeight="1" x14ac:dyDescent="0.2">
      <c r="A21" s="56" t="s">
        <v>111</v>
      </c>
      <c r="B21" s="153" t="s">
        <v>145</v>
      </c>
      <c r="C21" s="153"/>
      <c r="D21" s="153"/>
      <c r="E21" s="153"/>
      <c r="F21" s="153"/>
      <c r="G21" s="180"/>
    </row>
    <row r="22" spans="1:7" s="1" customFormat="1" x14ac:dyDescent="0.2"/>
    <row r="23" spans="1:7" s="1" customFormat="1" x14ac:dyDescent="0.2">
      <c r="A23" s="170" t="s">
        <v>112</v>
      </c>
      <c r="B23" s="171"/>
      <c r="C23" s="171"/>
      <c r="D23" s="171"/>
      <c r="E23" s="171"/>
      <c r="F23" s="171"/>
      <c r="G23" s="172"/>
    </row>
    <row r="24" spans="1:7" s="1" customFormat="1" ht="23" customHeight="1" x14ac:dyDescent="0.2">
      <c r="A24" s="59" t="s">
        <v>2</v>
      </c>
      <c r="B24" s="194" t="s">
        <v>201</v>
      </c>
      <c r="C24" s="194"/>
      <c r="D24" s="194"/>
      <c r="E24" s="194"/>
      <c r="F24" s="195" t="s">
        <v>3</v>
      </c>
      <c r="G24" s="196"/>
    </row>
    <row r="25" spans="1:7" s="1" customFormat="1" ht="23" customHeight="1" x14ac:dyDescent="0.2">
      <c r="A25" s="49" t="s">
        <v>85</v>
      </c>
      <c r="B25" s="151" t="s">
        <v>146</v>
      </c>
      <c r="C25" s="151"/>
      <c r="D25" s="151"/>
      <c r="E25" s="151"/>
      <c r="F25" s="156">
        <v>46143</v>
      </c>
      <c r="G25" s="158"/>
    </row>
    <row r="26" spans="1:7" s="1" customFormat="1" ht="16" customHeight="1" x14ac:dyDescent="0.2">
      <c r="A26" s="49" t="s">
        <v>113</v>
      </c>
      <c r="B26" s="151" t="s">
        <v>114</v>
      </c>
      <c r="C26" s="151"/>
      <c r="D26" s="151"/>
      <c r="E26" s="151"/>
      <c r="F26" s="156">
        <v>46082</v>
      </c>
      <c r="G26" s="157"/>
    </row>
    <row r="27" spans="1:7" s="1" customFormat="1" ht="16" customHeight="1" x14ac:dyDescent="0.2">
      <c r="A27" s="49" t="s">
        <v>25</v>
      </c>
      <c r="B27" s="151" t="s">
        <v>115</v>
      </c>
      <c r="C27" s="151"/>
      <c r="D27" s="151"/>
      <c r="E27" s="151"/>
      <c r="F27" s="156">
        <v>46143</v>
      </c>
      <c r="G27" s="157"/>
    </row>
    <row r="28" spans="1:7" s="1" customFormat="1" ht="16" customHeight="1" x14ac:dyDescent="0.2">
      <c r="A28" s="49" t="s">
        <v>116</v>
      </c>
      <c r="B28" s="151" t="s">
        <v>117</v>
      </c>
      <c r="C28" s="151"/>
      <c r="D28" s="151"/>
      <c r="E28" s="151"/>
      <c r="F28" s="156">
        <v>45839</v>
      </c>
      <c r="G28" s="157"/>
    </row>
    <row r="29" spans="1:7" s="1" customFormat="1" ht="16" customHeight="1" x14ac:dyDescent="0.2">
      <c r="A29" s="49" t="s">
        <v>118</v>
      </c>
      <c r="B29" s="151" t="s">
        <v>119</v>
      </c>
      <c r="C29" s="151"/>
      <c r="D29" s="151"/>
      <c r="E29" s="151"/>
      <c r="F29" s="156">
        <v>46082</v>
      </c>
      <c r="G29" s="157"/>
    </row>
    <row r="30" spans="1:7" s="1" customFormat="1" ht="38" customHeight="1" x14ac:dyDescent="0.2">
      <c r="A30" s="49" t="s">
        <v>120</v>
      </c>
      <c r="B30" s="151" t="s">
        <v>147</v>
      </c>
      <c r="C30" s="151"/>
      <c r="D30" s="151"/>
      <c r="E30" s="151"/>
      <c r="F30" s="156">
        <v>46113</v>
      </c>
      <c r="G30" s="157"/>
    </row>
    <row r="31" spans="1:7" s="1" customFormat="1" ht="16" customHeight="1" x14ac:dyDescent="0.2">
      <c r="A31" s="49" t="s">
        <v>121</v>
      </c>
      <c r="B31" s="151" t="s">
        <v>148</v>
      </c>
      <c r="C31" s="151"/>
      <c r="D31" s="151"/>
      <c r="E31" s="151"/>
      <c r="F31" s="156">
        <v>46143</v>
      </c>
      <c r="G31" s="157"/>
    </row>
    <row r="32" spans="1:7" s="1" customFormat="1" ht="16" customHeight="1" x14ac:dyDescent="0.2">
      <c r="A32" s="51" t="s">
        <v>122</v>
      </c>
      <c r="B32" s="153" t="s">
        <v>123</v>
      </c>
      <c r="C32" s="153"/>
      <c r="D32" s="153"/>
      <c r="E32" s="153"/>
      <c r="F32" s="181" t="s">
        <v>198</v>
      </c>
      <c r="G32" s="182"/>
    </row>
    <row r="33" spans="1:7" s="1" customFormat="1" x14ac:dyDescent="0.2"/>
    <row r="34" spans="1:7" s="1" customFormat="1" x14ac:dyDescent="0.2">
      <c r="A34" s="177" t="s">
        <v>124</v>
      </c>
      <c r="B34" s="178"/>
      <c r="C34" s="178"/>
      <c r="D34" s="178"/>
      <c r="E34" s="178"/>
      <c r="F34" s="178"/>
      <c r="G34" s="179"/>
    </row>
    <row r="35" spans="1:7" s="1" customFormat="1" ht="40" customHeight="1" x14ac:dyDescent="0.2">
      <c r="A35" s="188" t="s">
        <v>149</v>
      </c>
      <c r="B35" s="189"/>
      <c r="C35" s="189"/>
      <c r="D35" s="189"/>
      <c r="E35" s="189"/>
      <c r="F35" s="189"/>
      <c r="G35" s="190"/>
    </row>
    <row r="36" spans="1:7" s="1" customFormat="1" ht="51" customHeight="1" x14ac:dyDescent="0.2">
      <c r="A36" s="191" t="s">
        <v>150</v>
      </c>
      <c r="B36" s="192"/>
      <c r="C36" s="192"/>
      <c r="D36" s="192"/>
      <c r="E36" s="192"/>
      <c r="F36" s="192"/>
      <c r="G36" s="193"/>
    </row>
    <row r="37" spans="1:7" s="1" customFormat="1" ht="37" customHeight="1" x14ac:dyDescent="0.2">
      <c r="A37" s="188" t="s">
        <v>151</v>
      </c>
      <c r="B37" s="189"/>
      <c r="C37" s="189"/>
      <c r="D37" s="189"/>
      <c r="E37" s="189"/>
      <c r="F37" s="189"/>
      <c r="G37" s="190"/>
    </row>
    <row r="38" spans="1:7" s="1" customFormat="1" ht="51" customHeight="1" x14ac:dyDescent="0.2">
      <c r="A38" s="191" t="s">
        <v>152</v>
      </c>
      <c r="B38" s="192"/>
      <c r="C38" s="192"/>
      <c r="D38" s="192"/>
      <c r="E38" s="192"/>
      <c r="F38" s="192"/>
      <c r="G38" s="193"/>
    </row>
    <row r="39" spans="1:7" s="1" customFormat="1" ht="39" customHeight="1" x14ac:dyDescent="0.2">
      <c r="A39" s="174" t="s">
        <v>153</v>
      </c>
      <c r="B39" s="175"/>
      <c r="C39" s="175"/>
      <c r="D39" s="175"/>
      <c r="E39" s="175"/>
      <c r="F39" s="175"/>
      <c r="G39" s="176"/>
    </row>
    <row r="40" spans="1:7" s="1" customFormat="1" x14ac:dyDescent="0.2"/>
    <row r="41" spans="1:7" s="1" customFormat="1" x14ac:dyDescent="0.2">
      <c r="A41" s="183"/>
      <c r="B41" s="183"/>
      <c r="C41" s="183"/>
      <c r="D41" s="183"/>
      <c r="E41" s="183"/>
      <c r="F41" s="183"/>
      <c r="G41" s="183"/>
    </row>
  </sheetData>
  <mergeCells count="44">
    <mergeCell ref="A41:G41"/>
    <mergeCell ref="B11:G11"/>
    <mergeCell ref="B12:G12"/>
    <mergeCell ref="B13:G13"/>
    <mergeCell ref="B14:G14"/>
    <mergeCell ref="A35:G35"/>
    <mergeCell ref="A36:G36"/>
    <mergeCell ref="A37:G37"/>
    <mergeCell ref="A38:G38"/>
    <mergeCell ref="B28:E28"/>
    <mergeCell ref="B29:E29"/>
    <mergeCell ref="B30:E30"/>
    <mergeCell ref="B31:E31"/>
    <mergeCell ref="B32:E32"/>
    <mergeCell ref="B24:E24"/>
    <mergeCell ref="F24:G24"/>
    <mergeCell ref="A8:G8"/>
    <mergeCell ref="A16:G16"/>
    <mergeCell ref="A23:G23"/>
    <mergeCell ref="B10:G10"/>
    <mergeCell ref="A39:G39"/>
    <mergeCell ref="A34:G34"/>
    <mergeCell ref="B17:G17"/>
    <mergeCell ref="B18:G18"/>
    <mergeCell ref="B19:G19"/>
    <mergeCell ref="B20:G20"/>
    <mergeCell ref="B21:G21"/>
    <mergeCell ref="B25:E25"/>
    <mergeCell ref="B26:E26"/>
    <mergeCell ref="B27:E27"/>
    <mergeCell ref="F31:G31"/>
    <mergeCell ref="F32:G32"/>
    <mergeCell ref="A1:G1"/>
    <mergeCell ref="A2:G2"/>
    <mergeCell ref="A5:G5"/>
    <mergeCell ref="A6:G6"/>
    <mergeCell ref="A4:G4"/>
    <mergeCell ref="B9:G9"/>
    <mergeCell ref="F29:G29"/>
    <mergeCell ref="F30:G30"/>
    <mergeCell ref="F25:G25"/>
    <mergeCell ref="F26:G26"/>
    <mergeCell ref="F27:G27"/>
    <mergeCell ref="F28:G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96776-CA98-CF4F-8100-D7F6924C0C7E}">
  <sheetPr>
    <tabColor rgb="FFFFFC00"/>
  </sheetPr>
  <dimension ref="A1:F43"/>
  <sheetViews>
    <sheetView showGridLines="0" zoomScale="126" zoomScaleNormal="91" workbookViewId="0">
      <pane ySplit="3" topLeftCell="A27" activePane="bottomLeft" state="frozen"/>
      <selection pane="bottomLeft" activeCell="I38" sqref="I38"/>
    </sheetView>
  </sheetViews>
  <sheetFormatPr baseColWidth="10" defaultRowHeight="16" x14ac:dyDescent="0.2"/>
  <cols>
    <col min="1" max="1" width="38.5" style="29" customWidth="1"/>
    <col min="2" max="2" width="16.83203125" style="29" customWidth="1"/>
    <col min="3" max="3" width="18.83203125" style="29" customWidth="1"/>
    <col min="4" max="4" width="10" style="29" customWidth="1"/>
    <col min="5" max="5" width="56.5" style="29" customWidth="1"/>
    <col min="6" max="6" width="15.6640625" style="29" customWidth="1"/>
    <col min="7" max="16384" width="10.83203125" style="29"/>
  </cols>
  <sheetData>
    <row r="1" spans="1:6" s="1" customFormat="1" ht="21" x14ac:dyDescent="0.2">
      <c r="A1" s="197" t="s">
        <v>171</v>
      </c>
      <c r="B1" s="197"/>
      <c r="C1" s="197"/>
      <c r="D1" s="197"/>
      <c r="E1" s="197"/>
      <c r="F1" s="197"/>
    </row>
    <row r="2" spans="1:6" s="1" customFormat="1" x14ac:dyDescent="0.2"/>
    <row r="3" spans="1:6" s="1" customFormat="1" ht="21" customHeight="1" x14ac:dyDescent="0.2">
      <c r="A3" s="33" t="s">
        <v>0</v>
      </c>
      <c r="B3" s="34" t="s">
        <v>1</v>
      </c>
      <c r="C3" s="34" t="s">
        <v>207</v>
      </c>
      <c r="D3" s="34" t="s">
        <v>206</v>
      </c>
      <c r="E3" s="35" t="s">
        <v>2</v>
      </c>
      <c r="F3" s="36" t="s">
        <v>3</v>
      </c>
    </row>
    <row r="4" spans="1:6" s="1" customFormat="1" x14ac:dyDescent="0.2">
      <c r="A4" s="210" t="s">
        <v>172</v>
      </c>
      <c r="B4" s="205"/>
      <c r="C4" s="205"/>
      <c r="D4" s="205"/>
      <c r="E4" s="205"/>
      <c r="F4" s="211"/>
    </row>
    <row r="5" spans="1:6" s="1" customFormat="1" ht="17" x14ac:dyDescent="0.2">
      <c r="A5" s="37" t="s">
        <v>4</v>
      </c>
      <c r="B5" s="38">
        <v>4066460</v>
      </c>
      <c r="C5" s="73" t="s">
        <v>208</v>
      </c>
      <c r="D5" s="91">
        <v>1</v>
      </c>
      <c r="E5" s="25" t="s">
        <v>173</v>
      </c>
      <c r="F5" s="60" t="s">
        <v>5</v>
      </c>
    </row>
    <row r="6" spans="1:6" s="1" customFormat="1" ht="17" x14ac:dyDescent="0.2">
      <c r="A6" s="37" t="s">
        <v>6</v>
      </c>
      <c r="B6" s="38">
        <v>3088030</v>
      </c>
      <c r="C6" s="73" t="s">
        <v>208</v>
      </c>
      <c r="D6" s="91">
        <v>1</v>
      </c>
      <c r="E6" s="25" t="s">
        <v>173</v>
      </c>
      <c r="F6" s="60" t="s">
        <v>5</v>
      </c>
    </row>
    <row r="7" spans="1:6" s="1" customFormat="1" ht="17" x14ac:dyDescent="0.2">
      <c r="A7" s="37" t="s">
        <v>7</v>
      </c>
      <c r="B7" s="38">
        <v>978440</v>
      </c>
      <c r="C7" s="73" t="s">
        <v>208</v>
      </c>
      <c r="D7" s="91">
        <v>1</v>
      </c>
      <c r="E7" s="25" t="s">
        <v>173</v>
      </c>
      <c r="F7" s="60" t="s">
        <v>5</v>
      </c>
    </row>
    <row r="8" spans="1:6" s="1" customFormat="1" ht="17" x14ac:dyDescent="0.2">
      <c r="A8" s="37" t="s">
        <v>8</v>
      </c>
      <c r="B8" s="38">
        <v>290580</v>
      </c>
      <c r="C8" s="73" t="s">
        <v>208</v>
      </c>
      <c r="D8" s="91">
        <v>1</v>
      </c>
      <c r="E8" s="25" t="s">
        <v>173</v>
      </c>
      <c r="F8" s="60" t="s">
        <v>5</v>
      </c>
    </row>
    <row r="9" spans="1:6" s="1" customFormat="1" ht="17" x14ac:dyDescent="0.2">
      <c r="A9" s="37" t="s">
        <v>9</v>
      </c>
      <c r="B9" s="38">
        <v>781810</v>
      </c>
      <c r="C9" s="73" t="s">
        <v>208</v>
      </c>
      <c r="D9" s="91">
        <v>1</v>
      </c>
      <c r="E9" s="25" t="s">
        <v>173</v>
      </c>
      <c r="F9" s="60" t="s">
        <v>5</v>
      </c>
    </row>
    <row r="10" spans="1:6" s="1" customFormat="1" ht="17" x14ac:dyDescent="0.2">
      <c r="A10" s="37" t="s">
        <v>10</v>
      </c>
      <c r="B10" s="38">
        <v>208680</v>
      </c>
      <c r="C10" s="73" t="s">
        <v>208</v>
      </c>
      <c r="D10" s="91">
        <v>1</v>
      </c>
      <c r="E10" s="25" t="s">
        <v>173</v>
      </c>
      <c r="F10" s="60" t="s">
        <v>5</v>
      </c>
    </row>
    <row r="11" spans="1:6" s="1" customFormat="1" ht="17" x14ac:dyDescent="0.2">
      <c r="A11" s="37" t="s">
        <v>11</v>
      </c>
      <c r="B11" s="38">
        <v>164900</v>
      </c>
      <c r="C11" s="73" t="s">
        <v>208</v>
      </c>
      <c r="D11" s="91">
        <v>1</v>
      </c>
      <c r="E11" s="25" t="s">
        <v>173</v>
      </c>
      <c r="F11" s="60" t="s">
        <v>5</v>
      </c>
    </row>
    <row r="12" spans="1:6" s="1" customFormat="1" ht="17" x14ac:dyDescent="0.2">
      <c r="A12" s="37" t="s">
        <v>12</v>
      </c>
      <c r="B12" s="38">
        <v>3990</v>
      </c>
      <c r="C12" s="73" t="s">
        <v>209</v>
      </c>
      <c r="D12" s="91">
        <v>1</v>
      </c>
      <c r="E12" s="25" t="s">
        <v>173</v>
      </c>
      <c r="F12" s="60" t="s">
        <v>5</v>
      </c>
    </row>
    <row r="13" spans="1:6" s="1" customFormat="1" ht="17" x14ac:dyDescent="0.2">
      <c r="A13" s="37" t="s">
        <v>13</v>
      </c>
      <c r="B13" s="38">
        <v>2064</v>
      </c>
      <c r="C13" s="73" t="s">
        <v>209</v>
      </c>
      <c r="D13" s="91">
        <v>1</v>
      </c>
      <c r="E13" s="25" t="s">
        <v>173</v>
      </c>
      <c r="F13" s="60" t="s">
        <v>5</v>
      </c>
    </row>
    <row r="14" spans="1:6" s="1" customFormat="1" ht="17" x14ac:dyDescent="0.2">
      <c r="A14" s="39" t="s">
        <v>14</v>
      </c>
      <c r="B14" s="74">
        <v>972</v>
      </c>
      <c r="C14" s="75" t="s">
        <v>209</v>
      </c>
      <c r="D14" s="92">
        <v>1</v>
      </c>
      <c r="E14" s="40" t="s">
        <v>173</v>
      </c>
      <c r="F14" s="76" t="s">
        <v>5</v>
      </c>
    </row>
    <row r="15" spans="1:6" s="1" customFormat="1" x14ac:dyDescent="0.2">
      <c r="A15" s="69"/>
      <c r="B15" s="70"/>
      <c r="C15" s="70"/>
      <c r="D15" s="70"/>
      <c r="E15" s="71"/>
      <c r="F15" s="72"/>
    </row>
    <row r="16" spans="1:6" s="1" customFormat="1" ht="17" customHeight="1" x14ac:dyDescent="0.2">
      <c r="A16" s="207" t="s">
        <v>15</v>
      </c>
      <c r="B16" s="208"/>
      <c r="C16" s="208"/>
      <c r="D16" s="208"/>
      <c r="E16" s="208"/>
      <c r="F16" s="209"/>
    </row>
    <row r="17" spans="1:6" s="1" customFormat="1" ht="17" x14ac:dyDescent="0.2">
      <c r="A17" s="37" t="s">
        <v>16</v>
      </c>
      <c r="B17" s="38">
        <v>1500000</v>
      </c>
      <c r="C17" s="62" t="s">
        <v>210</v>
      </c>
      <c r="D17" s="93">
        <v>4</v>
      </c>
      <c r="E17" s="25" t="s">
        <v>174</v>
      </c>
      <c r="F17" s="84">
        <v>46143</v>
      </c>
    </row>
    <row r="18" spans="1:6" s="1" customFormat="1" ht="17" x14ac:dyDescent="0.2">
      <c r="A18" s="37" t="s">
        <v>17</v>
      </c>
      <c r="B18" s="41">
        <v>7</v>
      </c>
      <c r="C18" s="63" t="s">
        <v>211</v>
      </c>
      <c r="D18" s="101">
        <v>4</v>
      </c>
      <c r="E18" s="25" t="s">
        <v>175</v>
      </c>
      <c r="F18" s="60" t="s">
        <v>20</v>
      </c>
    </row>
    <row r="19" spans="1:6" s="1" customFormat="1" ht="17" x14ac:dyDescent="0.2">
      <c r="A19" s="37" t="s">
        <v>176</v>
      </c>
      <c r="B19" s="42">
        <v>7.0099999999999996E-2</v>
      </c>
      <c r="C19" s="64" t="s">
        <v>212</v>
      </c>
      <c r="D19" s="93">
        <v>1</v>
      </c>
      <c r="E19" s="25" t="s">
        <v>177</v>
      </c>
      <c r="F19" s="84">
        <v>46082</v>
      </c>
    </row>
    <row r="20" spans="1:6" s="1" customFormat="1" ht="17" x14ac:dyDescent="0.2">
      <c r="A20" s="37" t="s">
        <v>18</v>
      </c>
      <c r="B20" s="41">
        <v>1.25</v>
      </c>
      <c r="C20" s="63" t="s">
        <v>213</v>
      </c>
      <c r="D20" s="93">
        <v>4</v>
      </c>
      <c r="E20" s="25" t="s">
        <v>19</v>
      </c>
      <c r="F20" s="60" t="s">
        <v>20</v>
      </c>
    </row>
    <row r="21" spans="1:6" s="1" customFormat="1" ht="17" x14ac:dyDescent="0.2">
      <c r="A21" s="37" t="s">
        <v>220</v>
      </c>
      <c r="B21" s="46">
        <v>1700000</v>
      </c>
      <c r="C21" s="66" t="s">
        <v>210</v>
      </c>
      <c r="D21" s="93">
        <v>3</v>
      </c>
      <c r="E21" s="25" t="s">
        <v>221</v>
      </c>
      <c r="F21" s="60" t="s">
        <v>202</v>
      </c>
    </row>
    <row r="22" spans="1:6" s="1" customFormat="1" ht="34" x14ac:dyDescent="0.2">
      <c r="A22" s="39" t="s">
        <v>222</v>
      </c>
      <c r="B22" s="67">
        <v>200000</v>
      </c>
      <c r="C22" s="68" t="s">
        <v>210</v>
      </c>
      <c r="D22" s="95">
        <v>3</v>
      </c>
      <c r="E22" s="40" t="s">
        <v>203</v>
      </c>
      <c r="F22" s="85">
        <v>46143</v>
      </c>
    </row>
    <row r="23" spans="1:6" s="1" customFormat="1" x14ac:dyDescent="0.2">
      <c r="A23" s="43"/>
      <c r="E23" s="43"/>
    </row>
    <row r="24" spans="1:6" s="1" customFormat="1" ht="23" customHeight="1" x14ac:dyDescent="0.2">
      <c r="A24" s="204" t="s">
        <v>21</v>
      </c>
      <c r="B24" s="205"/>
      <c r="C24" s="205"/>
      <c r="D24" s="205"/>
      <c r="E24" s="205"/>
      <c r="F24" s="206"/>
    </row>
    <row r="25" spans="1:6" s="1" customFormat="1" ht="35" customHeight="1" x14ac:dyDescent="0.2">
      <c r="A25" s="15" t="s">
        <v>178</v>
      </c>
      <c r="B25" s="44">
        <v>-0.3</v>
      </c>
      <c r="C25" s="82" t="s">
        <v>214</v>
      </c>
      <c r="D25" s="96">
        <v>2</v>
      </c>
      <c r="E25" s="25" t="s">
        <v>22</v>
      </c>
      <c r="F25" s="86">
        <v>46082</v>
      </c>
    </row>
    <row r="26" spans="1:6" s="1" customFormat="1" ht="35" customHeight="1" x14ac:dyDescent="0.2">
      <c r="A26" s="15" t="s">
        <v>179</v>
      </c>
      <c r="B26" s="44">
        <v>0.4</v>
      </c>
      <c r="C26" s="82" t="s">
        <v>214</v>
      </c>
      <c r="D26" s="96">
        <v>2</v>
      </c>
      <c r="E26" s="25" t="s">
        <v>23</v>
      </c>
      <c r="F26" s="86">
        <v>46143</v>
      </c>
    </row>
    <row r="27" spans="1:6" s="1" customFormat="1" ht="20" customHeight="1" x14ac:dyDescent="0.2">
      <c r="A27" s="15" t="s">
        <v>180</v>
      </c>
      <c r="B27" s="44">
        <v>-0.2</v>
      </c>
      <c r="C27" s="82" t="s">
        <v>214</v>
      </c>
      <c r="D27" s="94">
        <v>2</v>
      </c>
      <c r="E27" s="25" t="s">
        <v>181</v>
      </c>
      <c r="F27" s="86">
        <v>46082</v>
      </c>
    </row>
    <row r="28" spans="1:6" s="1" customFormat="1" ht="20" customHeight="1" x14ac:dyDescent="0.2">
      <c r="A28" s="22" t="s">
        <v>182</v>
      </c>
      <c r="B28" s="45">
        <v>0.3</v>
      </c>
      <c r="C28" s="83" t="s">
        <v>214</v>
      </c>
      <c r="D28" s="97">
        <v>2</v>
      </c>
      <c r="E28" s="27" t="s">
        <v>183</v>
      </c>
      <c r="F28" s="87">
        <v>46143</v>
      </c>
    </row>
    <row r="29" spans="1:6" s="1" customFormat="1" x14ac:dyDescent="0.2">
      <c r="A29" s="54"/>
      <c r="B29" s="53"/>
      <c r="C29" s="53"/>
      <c r="D29" s="53"/>
      <c r="E29" s="54"/>
      <c r="F29" s="53"/>
    </row>
    <row r="30" spans="1:6" s="1" customFormat="1" ht="20" customHeight="1" x14ac:dyDescent="0.2">
      <c r="A30" s="201" t="s">
        <v>184</v>
      </c>
      <c r="B30" s="202"/>
      <c r="C30" s="202"/>
      <c r="D30" s="202"/>
      <c r="E30" s="202"/>
      <c r="F30" s="203"/>
    </row>
    <row r="31" spans="1:6" s="1" customFormat="1" ht="17" x14ac:dyDescent="0.2">
      <c r="A31" s="77" t="s">
        <v>24</v>
      </c>
      <c r="B31" s="78">
        <v>403</v>
      </c>
      <c r="C31" s="79" t="s">
        <v>215</v>
      </c>
      <c r="D31" s="98">
        <v>1</v>
      </c>
      <c r="E31" s="65" t="s">
        <v>25</v>
      </c>
      <c r="F31" s="88">
        <v>46162</v>
      </c>
    </row>
    <row r="32" spans="1:6" s="1" customFormat="1" ht="17" x14ac:dyDescent="0.2">
      <c r="A32" s="15" t="s">
        <v>26</v>
      </c>
      <c r="B32" s="41">
        <v>808</v>
      </c>
      <c r="C32" s="73" t="s">
        <v>215</v>
      </c>
      <c r="D32" s="99">
        <v>1</v>
      </c>
      <c r="E32" s="25" t="s">
        <v>25</v>
      </c>
      <c r="F32" s="89">
        <v>46162</v>
      </c>
    </row>
    <row r="33" spans="1:6" s="1" customFormat="1" ht="17" x14ac:dyDescent="0.2">
      <c r="A33" s="15" t="s">
        <v>27</v>
      </c>
      <c r="B33" s="41">
        <v>0.71</v>
      </c>
      <c r="C33" s="73" t="s">
        <v>216</v>
      </c>
      <c r="D33" s="99">
        <v>1</v>
      </c>
      <c r="E33" s="25" t="s">
        <v>25</v>
      </c>
      <c r="F33" s="89">
        <v>46162</v>
      </c>
    </row>
    <row r="34" spans="1:6" s="1" customFormat="1" ht="17" x14ac:dyDescent="0.2">
      <c r="A34" s="15" t="s">
        <v>28</v>
      </c>
      <c r="B34" s="42">
        <v>4.3499999999999997E-2</v>
      </c>
      <c r="C34" s="73" t="s">
        <v>212</v>
      </c>
      <c r="D34" s="99">
        <v>1</v>
      </c>
      <c r="E34" s="25" t="s">
        <v>223</v>
      </c>
      <c r="F34" s="86">
        <v>46143</v>
      </c>
    </row>
    <row r="35" spans="1:6" s="1" customFormat="1" ht="17" x14ac:dyDescent="0.2">
      <c r="A35" s="15" t="s">
        <v>185</v>
      </c>
      <c r="B35" s="46">
        <v>6330</v>
      </c>
      <c r="C35" s="73" t="s">
        <v>217</v>
      </c>
      <c r="D35" s="58">
        <v>2</v>
      </c>
      <c r="E35" s="25" t="s">
        <v>62</v>
      </c>
      <c r="F35" s="86">
        <v>46113</v>
      </c>
    </row>
    <row r="36" spans="1:6" s="1" customFormat="1" ht="17" x14ac:dyDescent="0.2">
      <c r="A36" s="15" t="s">
        <v>186</v>
      </c>
      <c r="B36" s="46">
        <v>4800</v>
      </c>
      <c r="C36" s="73" t="s">
        <v>217</v>
      </c>
      <c r="D36" s="58">
        <v>3</v>
      </c>
      <c r="E36" s="25" t="s">
        <v>187</v>
      </c>
      <c r="F36" s="86">
        <v>46113</v>
      </c>
    </row>
    <row r="37" spans="1:6" s="1" customFormat="1" ht="17" x14ac:dyDescent="0.2">
      <c r="A37" s="15" t="s">
        <v>188</v>
      </c>
      <c r="B37" s="46">
        <v>18600</v>
      </c>
      <c r="C37" s="73" t="s">
        <v>217</v>
      </c>
      <c r="D37" s="58">
        <v>2</v>
      </c>
      <c r="E37" s="25" t="s">
        <v>62</v>
      </c>
      <c r="F37" s="86">
        <v>46113</v>
      </c>
    </row>
    <row r="38" spans="1:6" s="1" customFormat="1" ht="17" x14ac:dyDescent="0.2">
      <c r="A38" s="15" t="s">
        <v>189</v>
      </c>
      <c r="B38" s="46">
        <v>2000</v>
      </c>
      <c r="C38" s="73" t="s">
        <v>217</v>
      </c>
      <c r="D38" s="58">
        <v>3</v>
      </c>
      <c r="E38" s="25" t="s">
        <v>190</v>
      </c>
      <c r="F38" s="86">
        <v>46113</v>
      </c>
    </row>
    <row r="39" spans="1:6" s="1" customFormat="1" ht="17" x14ac:dyDescent="0.2">
      <c r="A39" s="15" t="s">
        <v>63</v>
      </c>
      <c r="B39" s="46">
        <v>22760000</v>
      </c>
      <c r="C39" s="73" t="s">
        <v>210</v>
      </c>
      <c r="D39" s="58">
        <v>3</v>
      </c>
      <c r="E39" s="25" t="s">
        <v>191</v>
      </c>
      <c r="F39" s="86">
        <v>46143</v>
      </c>
    </row>
    <row r="40" spans="1:6" s="1" customFormat="1" ht="17" x14ac:dyDescent="0.2">
      <c r="A40" s="15" t="s">
        <v>64</v>
      </c>
      <c r="B40" s="102">
        <v>5.3999999999999999E-2</v>
      </c>
      <c r="C40" s="73" t="s">
        <v>218</v>
      </c>
      <c r="D40" s="58">
        <v>3</v>
      </c>
      <c r="E40" s="25" t="s">
        <v>65</v>
      </c>
      <c r="F40" s="86">
        <v>46143</v>
      </c>
    </row>
    <row r="41" spans="1:6" s="1" customFormat="1" ht="17" x14ac:dyDescent="0.2">
      <c r="A41" s="80" t="s">
        <v>204</v>
      </c>
      <c r="B41" s="81">
        <v>314</v>
      </c>
      <c r="C41" s="75" t="s">
        <v>219</v>
      </c>
      <c r="D41" s="100">
        <v>1</v>
      </c>
      <c r="E41" s="40" t="s">
        <v>205</v>
      </c>
      <c r="F41" s="90" t="s">
        <v>198</v>
      </c>
    </row>
    <row r="42" spans="1:6" s="1" customFormat="1" x14ac:dyDescent="0.2"/>
    <row r="43" spans="1:6" s="1" customFormat="1" ht="38" customHeight="1" x14ac:dyDescent="0.2">
      <c r="A43" s="198" t="s">
        <v>154</v>
      </c>
      <c r="B43" s="199"/>
      <c r="C43" s="199"/>
      <c r="D43" s="199"/>
      <c r="E43" s="199"/>
      <c r="F43" s="200"/>
    </row>
  </sheetData>
  <mergeCells count="6">
    <mergeCell ref="A1:F1"/>
    <mergeCell ref="A43:F43"/>
    <mergeCell ref="A30:F30"/>
    <mergeCell ref="A24:F24"/>
    <mergeCell ref="A16:F16"/>
    <mergeCell ref="A4: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39174-C739-9742-898C-954CB3EB398F}">
  <sheetPr>
    <tabColor theme="9"/>
  </sheetPr>
  <dimension ref="A1:J46"/>
  <sheetViews>
    <sheetView showGridLines="0" tabSelected="1" zoomScale="115" zoomScaleNormal="80" workbookViewId="0">
      <selection activeCell="O11" sqref="O11"/>
    </sheetView>
  </sheetViews>
  <sheetFormatPr baseColWidth="10" defaultRowHeight="16" x14ac:dyDescent="0.2"/>
  <cols>
    <col min="1" max="1" width="40" style="29" customWidth="1"/>
    <col min="2" max="8" width="15.83203125" style="1" customWidth="1"/>
    <col min="9" max="16384" width="10.83203125" style="29"/>
  </cols>
  <sheetData>
    <row r="1" spans="1:10" s="1" customFormat="1" ht="21" x14ac:dyDescent="0.2">
      <c r="A1" s="226" t="s">
        <v>155</v>
      </c>
      <c r="B1" s="226"/>
      <c r="C1" s="226"/>
      <c r="D1" s="226"/>
      <c r="E1" s="226"/>
      <c r="F1" s="226"/>
      <c r="G1" s="226"/>
      <c r="H1" s="226"/>
      <c r="I1" s="30"/>
      <c r="J1" s="30"/>
    </row>
    <row r="2" spans="1:10" s="1" customFormat="1" x14ac:dyDescent="0.2"/>
    <row r="3" spans="1:10" s="1" customFormat="1" ht="19" x14ac:dyDescent="0.2">
      <c r="A3" s="221" t="s">
        <v>156</v>
      </c>
      <c r="B3" s="222"/>
      <c r="C3" s="222"/>
      <c r="D3" s="222"/>
      <c r="E3" s="222"/>
      <c r="F3" s="222"/>
      <c r="G3" s="222"/>
      <c r="H3" s="223"/>
      <c r="I3" s="31"/>
      <c r="J3" s="31"/>
    </row>
    <row r="4" spans="1:10" s="1" customFormat="1" x14ac:dyDescent="0.2">
      <c r="A4" s="114" t="s">
        <v>43</v>
      </c>
      <c r="B4" s="230" t="s">
        <v>66</v>
      </c>
      <c r="C4" s="230"/>
      <c r="D4" s="230"/>
      <c r="E4" s="230"/>
      <c r="F4" s="230"/>
      <c r="G4" s="228" t="s">
        <v>2</v>
      </c>
      <c r="H4" s="229"/>
      <c r="I4" s="31"/>
      <c r="J4" s="31"/>
    </row>
    <row r="5" spans="1:10" s="1" customFormat="1" ht="34" customHeight="1" x14ac:dyDescent="0.2">
      <c r="A5" s="115" t="s">
        <v>67</v>
      </c>
      <c r="B5" s="218" t="s">
        <v>157</v>
      </c>
      <c r="C5" s="218"/>
      <c r="D5" s="218"/>
      <c r="E5" s="218"/>
      <c r="F5" s="218"/>
      <c r="G5" s="219" t="s">
        <v>68</v>
      </c>
      <c r="H5" s="220"/>
      <c r="I5" s="32"/>
      <c r="J5" s="32"/>
    </row>
    <row r="6" spans="1:10" s="1" customFormat="1" ht="36" customHeight="1" x14ac:dyDescent="0.2">
      <c r="A6" s="115" t="s">
        <v>69</v>
      </c>
      <c r="B6" s="218" t="s">
        <v>158</v>
      </c>
      <c r="C6" s="218"/>
      <c r="D6" s="218"/>
      <c r="E6" s="218"/>
      <c r="F6" s="218"/>
      <c r="G6" s="219" t="s">
        <v>70</v>
      </c>
      <c r="H6" s="220"/>
      <c r="I6" s="32"/>
      <c r="J6" s="32"/>
    </row>
    <row r="7" spans="1:10" s="1" customFormat="1" ht="21" customHeight="1" x14ac:dyDescent="0.2">
      <c r="A7" s="115" t="s">
        <v>71</v>
      </c>
      <c r="B7" s="218" t="s">
        <v>253</v>
      </c>
      <c r="C7" s="218"/>
      <c r="D7" s="218"/>
      <c r="E7" s="218"/>
      <c r="F7" s="218"/>
      <c r="G7" s="219" t="s">
        <v>72</v>
      </c>
      <c r="H7" s="220"/>
      <c r="I7" s="32"/>
      <c r="J7" s="32"/>
    </row>
    <row r="8" spans="1:10" s="1" customFormat="1" ht="16" customHeight="1" x14ac:dyDescent="0.2">
      <c r="A8" s="115" t="s">
        <v>73</v>
      </c>
      <c r="B8" s="218" t="s">
        <v>74</v>
      </c>
      <c r="C8" s="218"/>
      <c r="D8" s="218"/>
      <c r="E8" s="218"/>
      <c r="F8" s="218"/>
      <c r="G8" s="219" t="s">
        <v>159</v>
      </c>
      <c r="H8" s="220"/>
      <c r="I8" s="32"/>
      <c r="J8" s="32"/>
    </row>
    <row r="9" spans="1:10" s="1" customFormat="1" ht="16" customHeight="1" x14ac:dyDescent="0.2">
      <c r="A9" s="115" t="s">
        <v>75</v>
      </c>
      <c r="B9" s="218" t="s">
        <v>160</v>
      </c>
      <c r="C9" s="218"/>
      <c r="D9" s="218"/>
      <c r="E9" s="218"/>
      <c r="F9" s="218"/>
      <c r="G9" s="219" t="s">
        <v>68</v>
      </c>
      <c r="H9" s="220"/>
      <c r="I9" s="32"/>
      <c r="J9" s="32"/>
    </row>
    <row r="10" spans="1:10" s="1" customFormat="1" ht="16" customHeight="1" x14ac:dyDescent="0.2">
      <c r="A10" s="115" t="s">
        <v>76</v>
      </c>
      <c r="B10" s="218" t="s">
        <v>161</v>
      </c>
      <c r="C10" s="218"/>
      <c r="D10" s="218"/>
      <c r="E10" s="218"/>
      <c r="F10" s="218"/>
      <c r="G10" s="219" t="s">
        <v>68</v>
      </c>
      <c r="H10" s="220"/>
      <c r="I10" s="32"/>
      <c r="J10" s="32"/>
    </row>
    <row r="11" spans="1:10" s="1" customFormat="1" ht="16" customHeight="1" x14ac:dyDescent="0.2">
      <c r="A11" s="115" t="s">
        <v>77</v>
      </c>
      <c r="B11" s="218" t="s">
        <v>162</v>
      </c>
      <c r="C11" s="218"/>
      <c r="D11" s="218"/>
      <c r="E11" s="218"/>
      <c r="F11" s="218"/>
      <c r="G11" s="219" t="s">
        <v>78</v>
      </c>
      <c r="H11" s="220"/>
      <c r="I11" s="32"/>
      <c r="J11" s="32"/>
    </row>
    <row r="12" spans="1:10" s="1" customFormat="1" ht="16" customHeight="1" x14ac:dyDescent="0.2">
      <c r="A12" s="115" t="s">
        <v>79</v>
      </c>
      <c r="B12" s="218" t="s">
        <v>80</v>
      </c>
      <c r="C12" s="218"/>
      <c r="D12" s="218"/>
      <c r="E12" s="218"/>
      <c r="F12" s="218"/>
      <c r="G12" s="219" t="s">
        <v>81</v>
      </c>
      <c r="H12" s="220"/>
      <c r="I12" s="32"/>
      <c r="J12" s="32"/>
    </row>
    <row r="13" spans="1:10" s="1" customFormat="1" ht="36" customHeight="1" x14ac:dyDescent="0.2">
      <c r="A13" s="115" t="s">
        <v>82</v>
      </c>
      <c r="B13" s="218" t="s">
        <v>163</v>
      </c>
      <c r="C13" s="218"/>
      <c r="D13" s="218"/>
      <c r="E13" s="218"/>
      <c r="F13" s="218"/>
      <c r="G13" s="219" t="s">
        <v>164</v>
      </c>
      <c r="H13" s="220"/>
      <c r="I13" s="32"/>
      <c r="J13" s="32"/>
    </row>
    <row r="14" spans="1:10" s="1" customFormat="1" ht="16" customHeight="1" x14ac:dyDescent="0.2">
      <c r="A14" s="115" t="s">
        <v>83</v>
      </c>
      <c r="B14" s="218" t="s">
        <v>165</v>
      </c>
      <c r="C14" s="218"/>
      <c r="D14" s="218"/>
      <c r="E14" s="218"/>
      <c r="F14" s="218"/>
      <c r="G14" s="219" t="s">
        <v>68</v>
      </c>
      <c r="H14" s="220"/>
      <c r="I14" s="32"/>
      <c r="J14" s="32"/>
    </row>
    <row r="15" spans="1:10" s="1" customFormat="1" ht="70" customHeight="1" x14ac:dyDescent="0.2">
      <c r="A15" s="116" t="s">
        <v>84</v>
      </c>
      <c r="B15" s="227" t="s">
        <v>166</v>
      </c>
      <c r="C15" s="227"/>
      <c r="D15" s="227"/>
      <c r="E15" s="227"/>
      <c r="F15" s="227"/>
      <c r="G15" s="224" t="s">
        <v>85</v>
      </c>
      <c r="H15" s="225"/>
      <c r="I15" s="32"/>
      <c r="J15" s="32"/>
    </row>
    <row r="16" spans="1:10" s="1" customFormat="1" x14ac:dyDescent="0.2"/>
    <row r="17" spans="1:10" s="1" customFormat="1" ht="19" x14ac:dyDescent="0.2">
      <c r="A17" s="221" t="s">
        <v>167</v>
      </c>
      <c r="B17" s="222"/>
      <c r="C17" s="222"/>
      <c r="D17" s="222"/>
      <c r="E17" s="222"/>
      <c r="F17" s="222"/>
      <c r="G17" s="222"/>
      <c r="H17" s="223"/>
      <c r="I17" s="31"/>
      <c r="J17" s="31"/>
    </row>
    <row r="18" spans="1:10" s="1" customFormat="1" ht="17" x14ac:dyDescent="0.2">
      <c r="A18" s="103" t="s">
        <v>0</v>
      </c>
      <c r="B18" s="104" t="s">
        <v>228</v>
      </c>
      <c r="C18" s="104" t="s">
        <v>229</v>
      </c>
      <c r="D18" s="104" t="s">
        <v>230</v>
      </c>
      <c r="E18" s="104" t="s">
        <v>224</v>
      </c>
      <c r="F18" s="104" t="s">
        <v>225</v>
      </c>
      <c r="G18" s="104" t="s">
        <v>226</v>
      </c>
      <c r="H18" s="105" t="s">
        <v>227</v>
      </c>
    </row>
    <row r="19" spans="1:10" s="1" customFormat="1" ht="17" x14ac:dyDescent="0.2">
      <c r="A19" s="15" t="s">
        <v>29</v>
      </c>
      <c r="B19" s="106">
        <v>2440380</v>
      </c>
      <c r="C19" s="106">
        <v>3131030</v>
      </c>
      <c r="D19" s="106">
        <v>2753840</v>
      </c>
      <c r="E19" s="106">
        <v>3072290</v>
      </c>
      <c r="F19" s="106">
        <v>5322770</v>
      </c>
      <c r="G19" s="106">
        <v>6269290</v>
      </c>
      <c r="H19" s="107">
        <v>4066460</v>
      </c>
    </row>
    <row r="20" spans="1:10" s="1" customFormat="1" ht="17" x14ac:dyDescent="0.2">
      <c r="A20" s="15" t="s">
        <v>30</v>
      </c>
      <c r="B20" s="106">
        <v>1502940</v>
      </c>
      <c r="C20" s="106">
        <v>1880300</v>
      </c>
      <c r="D20" s="106">
        <v>2077580</v>
      </c>
      <c r="E20" s="106">
        <v>2205510</v>
      </c>
      <c r="F20" s="106">
        <v>3757080</v>
      </c>
      <c r="G20" s="106">
        <v>4030780</v>
      </c>
      <c r="H20" s="107">
        <v>3088030</v>
      </c>
      <c r="I20" s="31"/>
    </row>
    <row r="21" spans="1:10" s="1" customFormat="1" ht="17" x14ac:dyDescent="0.2">
      <c r="A21" s="15" t="s">
        <v>31</v>
      </c>
      <c r="B21" s="106">
        <v>937440</v>
      </c>
      <c r="C21" s="106">
        <v>1250730</v>
      </c>
      <c r="D21" s="106">
        <v>676260</v>
      </c>
      <c r="E21" s="106">
        <v>866800</v>
      </c>
      <c r="F21" s="106">
        <v>1565690</v>
      </c>
      <c r="G21" s="106">
        <v>2238510</v>
      </c>
      <c r="H21" s="107">
        <v>978440</v>
      </c>
    </row>
    <row r="22" spans="1:10" s="1" customFormat="1" ht="17" x14ac:dyDescent="0.2">
      <c r="A22" s="15" t="s">
        <v>32</v>
      </c>
      <c r="B22" s="106">
        <v>583820</v>
      </c>
      <c r="C22" s="106">
        <v>886130</v>
      </c>
      <c r="D22" s="106">
        <v>101530</v>
      </c>
      <c r="E22" s="106">
        <v>638540</v>
      </c>
      <c r="F22" s="106">
        <v>1304150</v>
      </c>
      <c r="G22" s="106">
        <v>1893480</v>
      </c>
      <c r="H22" s="107">
        <v>290580</v>
      </c>
    </row>
    <row r="23" spans="1:10" s="1" customFormat="1" ht="17" x14ac:dyDescent="0.2">
      <c r="A23" s="15" t="s">
        <v>33</v>
      </c>
      <c r="B23" s="106">
        <v>276050</v>
      </c>
      <c r="C23" s="106">
        <v>367460</v>
      </c>
      <c r="D23" s="106">
        <v>464150</v>
      </c>
      <c r="E23" s="106">
        <v>444510</v>
      </c>
      <c r="F23" s="106">
        <v>816830</v>
      </c>
      <c r="G23" s="106">
        <v>1060910</v>
      </c>
      <c r="H23" s="107">
        <v>781810</v>
      </c>
    </row>
    <row r="24" spans="1:10" s="1" customFormat="1" ht="17" x14ac:dyDescent="0.2">
      <c r="A24" s="15" t="s">
        <v>34</v>
      </c>
      <c r="B24" s="106">
        <v>127130</v>
      </c>
      <c r="C24" s="106">
        <v>153290</v>
      </c>
      <c r="D24" s="106">
        <v>159900</v>
      </c>
      <c r="E24" s="106">
        <v>148790</v>
      </c>
      <c r="F24" s="106">
        <v>254700</v>
      </c>
      <c r="G24" s="106">
        <v>297890</v>
      </c>
      <c r="H24" s="107">
        <v>208680</v>
      </c>
    </row>
    <row r="25" spans="1:10" s="1" customFormat="1" ht="17" x14ac:dyDescent="0.2">
      <c r="A25" s="15" t="s">
        <v>35</v>
      </c>
      <c r="B25" s="106">
        <v>107300</v>
      </c>
      <c r="C25" s="106">
        <v>117150</v>
      </c>
      <c r="D25" s="106">
        <v>121880</v>
      </c>
      <c r="E25" s="106">
        <v>102030</v>
      </c>
      <c r="F25" s="106">
        <v>113040</v>
      </c>
      <c r="G25" s="106">
        <v>152560</v>
      </c>
      <c r="H25" s="107">
        <v>164900</v>
      </c>
    </row>
    <row r="26" spans="1:10" s="1" customFormat="1" ht="17" x14ac:dyDescent="0.2">
      <c r="A26" s="15" t="s">
        <v>12</v>
      </c>
      <c r="B26" s="106">
        <v>3163</v>
      </c>
      <c r="C26" s="106">
        <v>3468</v>
      </c>
      <c r="D26" s="106">
        <v>3601</v>
      </c>
      <c r="E26" s="106">
        <v>3706</v>
      </c>
      <c r="F26" s="106">
        <v>4984</v>
      </c>
      <c r="G26" s="106">
        <v>4934</v>
      </c>
      <c r="H26" s="107">
        <v>3990</v>
      </c>
    </row>
    <row r="27" spans="1:10" s="1" customFormat="1" ht="17" x14ac:dyDescent="0.2">
      <c r="A27" s="15" t="s">
        <v>13</v>
      </c>
      <c r="B27" s="106">
        <v>1697</v>
      </c>
      <c r="C27" s="106">
        <v>1947</v>
      </c>
      <c r="D27" s="106">
        <v>1903</v>
      </c>
      <c r="E27" s="106">
        <v>1936</v>
      </c>
      <c r="F27" s="106">
        <v>2471</v>
      </c>
      <c r="G27" s="106">
        <v>2381</v>
      </c>
      <c r="H27" s="107">
        <v>2064</v>
      </c>
    </row>
    <row r="28" spans="1:10" s="1" customFormat="1" ht="17" x14ac:dyDescent="0.2">
      <c r="A28" s="61" t="s">
        <v>14</v>
      </c>
      <c r="B28" s="108">
        <v>595</v>
      </c>
      <c r="C28" s="108">
        <v>451</v>
      </c>
      <c r="D28" s="108">
        <v>533</v>
      </c>
      <c r="E28" s="108">
        <v>511</v>
      </c>
      <c r="F28" s="108">
        <v>828</v>
      </c>
      <c r="G28" s="108">
        <v>1095</v>
      </c>
      <c r="H28" s="109">
        <v>972</v>
      </c>
    </row>
    <row r="29" spans="1:10" s="1" customFormat="1" ht="38" customHeight="1" x14ac:dyDescent="0.2">
      <c r="A29" s="212" t="s">
        <v>231</v>
      </c>
      <c r="B29" s="213"/>
      <c r="C29" s="213"/>
      <c r="D29" s="213"/>
      <c r="E29" s="213"/>
      <c r="F29" s="213"/>
      <c r="G29" s="213"/>
      <c r="H29" s="214"/>
    </row>
    <row r="30" spans="1:10" s="1" customFormat="1" x14ac:dyDescent="0.2"/>
    <row r="31" spans="1:10" s="1" customFormat="1" ht="19" x14ac:dyDescent="0.2">
      <c r="A31" s="221" t="s">
        <v>86</v>
      </c>
      <c r="B31" s="222"/>
      <c r="C31" s="222"/>
      <c r="D31" s="222"/>
      <c r="E31" s="222"/>
      <c r="F31" s="222"/>
      <c r="G31" s="222"/>
      <c r="H31" s="223"/>
    </row>
    <row r="32" spans="1:10" s="1" customFormat="1" ht="17" x14ac:dyDescent="0.2">
      <c r="A32" s="103" t="s">
        <v>0</v>
      </c>
      <c r="B32" s="104" t="s">
        <v>228</v>
      </c>
      <c r="C32" s="104" t="s">
        <v>229</v>
      </c>
      <c r="D32" s="104" t="s">
        <v>230</v>
      </c>
      <c r="E32" s="104" t="s">
        <v>224</v>
      </c>
      <c r="F32" s="104" t="s">
        <v>225</v>
      </c>
      <c r="G32" s="104" t="s">
        <v>226</v>
      </c>
      <c r="H32" s="105" t="s">
        <v>227</v>
      </c>
    </row>
    <row r="33" spans="1:8" s="1" customFormat="1" ht="17" x14ac:dyDescent="0.2">
      <c r="A33" s="15" t="s">
        <v>36</v>
      </c>
      <c r="B33" s="110">
        <f>B21/B19</f>
        <v>0.38413689671280704</v>
      </c>
      <c r="C33" s="110">
        <f t="shared" ref="C33:H33" si="0">C21/C19</f>
        <v>0.39946279658770434</v>
      </c>
      <c r="D33" s="110">
        <f t="shared" si="0"/>
        <v>0.24556982250239665</v>
      </c>
      <c r="E33" s="110">
        <f t="shared" si="0"/>
        <v>0.28213482451200894</v>
      </c>
      <c r="F33" s="110">
        <f t="shared" si="0"/>
        <v>0.29414947480353276</v>
      </c>
      <c r="G33" s="110">
        <f t="shared" si="0"/>
        <v>0.35705957133901928</v>
      </c>
      <c r="H33" s="111">
        <f t="shared" si="0"/>
        <v>0.24061222783452929</v>
      </c>
    </row>
    <row r="34" spans="1:8" s="1" customFormat="1" ht="17" x14ac:dyDescent="0.2">
      <c r="A34" s="15" t="s">
        <v>37</v>
      </c>
      <c r="B34" s="110">
        <f>B20/B19</f>
        <v>0.61586310328719296</v>
      </c>
      <c r="C34" s="110">
        <f t="shared" ref="C34:H34" si="1">C20/C19</f>
        <v>0.60053720341229566</v>
      </c>
      <c r="D34" s="110">
        <f t="shared" si="1"/>
        <v>0.75443017749760333</v>
      </c>
      <c r="E34" s="110">
        <f t="shared" si="1"/>
        <v>0.71787168529012557</v>
      </c>
      <c r="F34" s="110">
        <f t="shared" si="1"/>
        <v>0.70585052519646729</v>
      </c>
      <c r="G34" s="110">
        <f t="shared" si="1"/>
        <v>0.64294042866098078</v>
      </c>
      <c r="H34" s="111">
        <f t="shared" si="1"/>
        <v>0.75939023130683692</v>
      </c>
    </row>
    <row r="35" spans="1:8" s="1" customFormat="1" ht="17" x14ac:dyDescent="0.2">
      <c r="A35" s="15" t="s">
        <v>38</v>
      </c>
      <c r="B35" s="110">
        <f>B23/B20</f>
        <v>0.18367333359947835</v>
      </c>
      <c r="C35" s="110">
        <f t="shared" ref="C35:H35" si="2">C23/C20</f>
        <v>0.19542626176673936</v>
      </c>
      <c r="D35" s="110">
        <f t="shared" si="2"/>
        <v>0.22340896620106085</v>
      </c>
      <c r="E35" s="110">
        <f t="shared" si="2"/>
        <v>0.20154522083327667</v>
      </c>
      <c r="F35" s="110">
        <f t="shared" si="2"/>
        <v>0.21741086162658235</v>
      </c>
      <c r="G35" s="110">
        <f t="shared" si="2"/>
        <v>0.26320215938354363</v>
      </c>
      <c r="H35" s="111">
        <f t="shared" si="2"/>
        <v>0.25317435387609577</v>
      </c>
    </row>
    <row r="36" spans="1:8" s="1" customFormat="1" ht="17" x14ac:dyDescent="0.2">
      <c r="A36" s="15" t="s">
        <v>39</v>
      </c>
      <c r="B36" s="110">
        <f>B24/B20</f>
        <v>8.4587541751500392E-2</v>
      </c>
      <c r="C36" s="110">
        <f t="shared" ref="C36:H36" si="3">C24/C20</f>
        <v>8.1524224857735472E-2</v>
      </c>
      <c r="D36" s="110">
        <f t="shared" si="3"/>
        <v>7.6964545288268085E-2</v>
      </c>
      <c r="E36" s="110">
        <f t="shared" si="3"/>
        <v>6.7462854396488789E-2</v>
      </c>
      <c r="F36" s="110">
        <f t="shared" si="3"/>
        <v>6.7792008687597813E-2</v>
      </c>
      <c r="G36" s="110">
        <f t="shared" si="3"/>
        <v>7.3903810180659821E-2</v>
      </c>
      <c r="H36" s="111">
        <f t="shared" si="3"/>
        <v>6.7577063694329392E-2</v>
      </c>
    </row>
    <row r="37" spans="1:8" s="1" customFormat="1" ht="17" x14ac:dyDescent="0.2">
      <c r="A37" s="15" t="s">
        <v>40</v>
      </c>
      <c r="B37" s="110">
        <f>B25/B20</f>
        <v>7.1393402264894143E-2</v>
      </c>
      <c r="C37" s="110">
        <f t="shared" ref="C37:H37" si="4">C25/C20</f>
        <v>6.2303887677498275E-2</v>
      </c>
      <c r="D37" s="110">
        <f t="shared" si="4"/>
        <v>5.8664407628105777E-2</v>
      </c>
      <c r="E37" s="110">
        <f t="shared" si="4"/>
        <v>4.6261408925826676E-2</v>
      </c>
      <c r="F37" s="110">
        <f t="shared" si="4"/>
        <v>3.0087195375131753E-2</v>
      </c>
      <c r="G37" s="110">
        <f t="shared" si="4"/>
        <v>3.78487538392073E-2</v>
      </c>
      <c r="H37" s="111">
        <f t="shared" si="4"/>
        <v>5.3399740287497208E-2</v>
      </c>
    </row>
    <row r="38" spans="1:8" s="1" customFormat="1" ht="17" x14ac:dyDescent="0.2">
      <c r="A38" s="15" t="s">
        <v>41</v>
      </c>
      <c r="B38" s="112">
        <f>B19/B26</f>
        <v>771.53967752134054</v>
      </c>
      <c r="C38" s="112">
        <f t="shared" ref="C38:H38" si="5">C19/C26</f>
        <v>902.83448673587077</v>
      </c>
      <c r="D38" s="112">
        <f t="shared" si="5"/>
        <v>764.74312690919191</v>
      </c>
      <c r="E38" s="112">
        <f t="shared" si="5"/>
        <v>829.00431732325956</v>
      </c>
      <c r="F38" s="112">
        <f t="shared" si="5"/>
        <v>1067.9715088282503</v>
      </c>
      <c r="G38" s="112">
        <f t="shared" si="5"/>
        <v>1270.6303202269964</v>
      </c>
      <c r="H38" s="113">
        <f t="shared" si="5"/>
        <v>1019.1629072681704</v>
      </c>
    </row>
    <row r="39" spans="1:8" s="1" customFormat="1" ht="17" x14ac:dyDescent="0.2">
      <c r="A39" s="15" t="s">
        <v>42</v>
      </c>
      <c r="B39" s="112">
        <f>B20/B26</f>
        <v>475.16282010749291</v>
      </c>
      <c r="C39" s="112">
        <f t="shared" ref="C39:H39" si="6">C20/C26</f>
        <v>542.18569780853522</v>
      </c>
      <c r="D39" s="112">
        <f t="shared" si="6"/>
        <v>576.94529297417387</v>
      </c>
      <c r="E39" s="112">
        <f t="shared" si="6"/>
        <v>595.11872638963837</v>
      </c>
      <c r="F39" s="112">
        <f t="shared" si="6"/>
        <v>753.82825040128409</v>
      </c>
      <c r="G39" s="112">
        <f t="shared" si="6"/>
        <v>816.93960275638426</v>
      </c>
      <c r="H39" s="113">
        <f t="shared" si="6"/>
        <v>773.94235588972435</v>
      </c>
    </row>
    <row r="40" spans="1:8" s="1" customFormat="1" ht="22" customHeight="1" x14ac:dyDescent="0.2">
      <c r="A40" s="215" t="s">
        <v>232</v>
      </c>
      <c r="B40" s="216"/>
      <c r="C40" s="216"/>
      <c r="D40" s="216"/>
      <c r="E40" s="216"/>
      <c r="F40" s="216"/>
      <c r="G40" s="216"/>
      <c r="H40" s="217"/>
    </row>
    <row r="41" spans="1:8" s="1" customFormat="1" x14ac:dyDescent="0.2"/>
    <row r="42" spans="1:8" s="1" customFormat="1" ht="19" x14ac:dyDescent="0.2">
      <c r="A42" s="234" t="s">
        <v>168</v>
      </c>
      <c r="B42" s="235"/>
      <c r="C42" s="235"/>
      <c r="D42" s="235"/>
      <c r="E42" s="235"/>
      <c r="F42" s="235"/>
      <c r="G42" s="235"/>
      <c r="H42" s="236"/>
    </row>
    <row r="43" spans="1:8" s="1" customFormat="1" ht="37" customHeight="1" x14ac:dyDescent="0.2">
      <c r="A43" s="237" t="s">
        <v>233</v>
      </c>
      <c r="B43" s="238"/>
      <c r="C43" s="238"/>
      <c r="D43" s="238"/>
      <c r="E43" s="238"/>
      <c r="F43" s="238"/>
      <c r="G43" s="238"/>
      <c r="H43" s="239"/>
    </row>
    <row r="44" spans="1:8" s="1" customFormat="1" ht="36" customHeight="1" x14ac:dyDescent="0.2">
      <c r="A44" s="237" t="s">
        <v>169</v>
      </c>
      <c r="B44" s="238"/>
      <c r="C44" s="238"/>
      <c r="D44" s="238"/>
      <c r="E44" s="238"/>
      <c r="F44" s="238"/>
      <c r="G44" s="238"/>
      <c r="H44" s="239"/>
    </row>
    <row r="45" spans="1:8" s="1" customFormat="1" ht="35" customHeight="1" x14ac:dyDescent="0.2">
      <c r="A45" s="237" t="s">
        <v>234</v>
      </c>
      <c r="B45" s="238"/>
      <c r="C45" s="238"/>
      <c r="D45" s="238"/>
      <c r="E45" s="238"/>
      <c r="F45" s="238"/>
      <c r="G45" s="238"/>
      <c r="H45" s="239"/>
    </row>
    <row r="46" spans="1:8" s="1" customFormat="1" ht="41" customHeight="1" x14ac:dyDescent="0.2">
      <c r="A46" s="231" t="s">
        <v>170</v>
      </c>
      <c r="B46" s="232"/>
      <c r="C46" s="232"/>
      <c r="D46" s="232"/>
      <c r="E46" s="232"/>
      <c r="F46" s="232"/>
      <c r="G46" s="232"/>
      <c r="H46" s="233"/>
    </row>
  </sheetData>
  <mergeCells count="35">
    <mergeCell ref="A46:H46"/>
    <mergeCell ref="A31:H31"/>
    <mergeCell ref="A42:H42"/>
    <mergeCell ref="A43:H43"/>
    <mergeCell ref="A44:H44"/>
    <mergeCell ref="A45:H45"/>
    <mergeCell ref="A1:H1"/>
    <mergeCell ref="A3:H3"/>
    <mergeCell ref="B13:F13"/>
    <mergeCell ref="B14:F14"/>
    <mergeCell ref="B15:F15"/>
    <mergeCell ref="G4:H4"/>
    <mergeCell ref="G5:H5"/>
    <mergeCell ref="G6:H6"/>
    <mergeCell ref="G7:H7"/>
    <mergeCell ref="G8:H8"/>
    <mergeCell ref="G9:H9"/>
    <mergeCell ref="G10:H10"/>
    <mergeCell ref="B4:F4"/>
    <mergeCell ref="B5:F5"/>
    <mergeCell ref="B6:F6"/>
    <mergeCell ref="B7:F7"/>
    <mergeCell ref="A29:H29"/>
    <mergeCell ref="A40:H40"/>
    <mergeCell ref="B8:F8"/>
    <mergeCell ref="G11:H11"/>
    <mergeCell ref="G12:H12"/>
    <mergeCell ref="G13:H13"/>
    <mergeCell ref="G14:H14"/>
    <mergeCell ref="A17:H17"/>
    <mergeCell ref="B9:F9"/>
    <mergeCell ref="B10:F10"/>
    <mergeCell ref="B11:F11"/>
    <mergeCell ref="B12:F12"/>
    <mergeCell ref="G15:H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EA3D4-2DDD-AF4F-A9F0-5C807D31BD39}">
  <sheetPr>
    <tabColor theme="3" tint="0.499984740745262"/>
  </sheetPr>
  <dimension ref="A1:E40"/>
  <sheetViews>
    <sheetView showGridLines="0" zoomScale="125" zoomScaleNormal="160" workbookViewId="0">
      <pane ySplit="3" topLeftCell="A4" activePane="bottomLeft" state="frozen"/>
      <selection pane="bottomLeft" activeCell="A15" sqref="A15:E22"/>
    </sheetView>
  </sheetViews>
  <sheetFormatPr baseColWidth="10" defaultRowHeight="16" x14ac:dyDescent="0.2"/>
  <cols>
    <col min="1" max="1" width="37.6640625" style="29" customWidth="1"/>
    <col min="2" max="5" width="30.83203125" style="29" customWidth="1"/>
    <col min="6" max="7" width="10.83203125" style="29"/>
    <col min="8" max="8" width="11" style="29" customWidth="1"/>
    <col min="9" max="16384" width="10.83203125" style="29"/>
  </cols>
  <sheetData>
    <row r="1" spans="1:5" s="1" customFormat="1" ht="21" x14ac:dyDescent="0.2">
      <c r="A1" s="243" t="s">
        <v>235</v>
      </c>
      <c r="B1" s="243"/>
      <c r="C1" s="243"/>
      <c r="D1" s="243"/>
      <c r="E1" s="243"/>
    </row>
    <row r="2" spans="1:5" s="1" customFormat="1" x14ac:dyDescent="0.2"/>
    <row r="3" spans="1:5" s="1" customFormat="1" x14ac:dyDescent="0.2">
      <c r="A3" s="2" t="s">
        <v>43</v>
      </c>
      <c r="B3" s="3" t="s">
        <v>136</v>
      </c>
      <c r="C3" s="3" t="s">
        <v>236</v>
      </c>
      <c r="D3" s="2" t="s">
        <v>237</v>
      </c>
      <c r="E3" s="2" t="s">
        <v>238</v>
      </c>
    </row>
    <row r="4" spans="1:5" s="1" customFormat="1" ht="19" x14ac:dyDescent="0.2">
      <c r="A4" s="128" t="s">
        <v>44</v>
      </c>
      <c r="B4" s="129"/>
      <c r="C4" s="129"/>
      <c r="D4" s="129"/>
      <c r="E4" s="130"/>
    </row>
    <row r="5" spans="1:5" s="1" customFormat="1" x14ac:dyDescent="0.2">
      <c r="A5" s="8" t="s">
        <v>29</v>
      </c>
      <c r="B5" s="9">
        <f>Assumptions!B5</f>
        <v>4066460</v>
      </c>
      <c r="C5" s="9">
        <f>B5*(1+Assumptions!B25)</f>
        <v>2846522</v>
      </c>
      <c r="D5" s="9">
        <f>B5</f>
        <v>4066460</v>
      </c>
      <c r="E5" s="10">
        <f>B5*(1+Assumptions!B27)</f>
        <v>3253168</v>
      </c>
    </row>
    <row r="6" spans="1:5" s="1" customFormat="1" x14ac:dyDescent="0.2"/>
    <row r="7" spans="1:5" s="1" customFormat="1" ht="19" x14ac:dyDescent="0.2">
      <c r="A7" s="128" t="s">
        <v>45</v>
      </c>
      <c r="B7" s="129"/>
      <c r="C7" s="129"/>
      <c r="D7" s="129"/>
      <c r="E7" s="130"/>
    </row>
    <row r="8" spans="1:5" s="1" customFormat="1" x14ac:dyDescent="0.2">
      <c r="A8" s="5" t="s">
        <v>33</v>
      </c>
      <c r="B8" s="6">
        <f>Assumptions!B9</f>
        <v>781810</v>
      </c>
      <c r="C8" s="6">
        <f>B8</f>
        <v>781810</v>
      </c>
      <c r="D8" s="6">
        <f>B8*(1+Assumptions!B26)</f>
        <v>1094534</v>
      </c>
      <c r="E8" s="7">
        <f>B8*(1+Assumptions!B28)</f>
        <v>1016353</v>
      </c>
    </row>
    <row r="9" spans="1:5" s="1" customFormat="1" x14ac:dyDescent="0.2">
      <c r="A9" s="5" t="s">
        <v>34</v>
      </c>
      <c r="B9" s="6">
        <f>Assumptions!B10</f>
        <v>208680</v>
      </c>
      <c r="C9" s="6">
        <f>B9</f>
        <v>208680</v>
      </c>
      <c r="D9" s="6">
        <f>B9</f>
        <v>208680</v>
      </c>
      <c r="E9" s="7">
        <f>B9</f>
        <v>208680</v>
      </c>
    </row>
    <row r="10" spans="1:5" s="1" customFormat="1" x14ac:dyDescent="0.2">
      <c r="A10" s="5" t="s">
        <v>239</v>
      </c>
      <c r="B10" s="6">
        <f>Assumptions!B11</f>
        <v>164900</v>
      </c>
      <c r="C10" s="6">
        <f>B10</f>
        <v>164900</v>
      </c>
      <c r="D10" s="6">
        <f>B10</f>
        <v>164900</v>
      </c>
      <c r="E10" s="7">
        <f>B10</f>
        <v>164900</v>
      </c>
    </row>
    <row r="11" spans="1:5" s="1" customFormat="1" x14ac:dyDescent="0.2">
      <c r="A11" s="5" t="s">
        <v>46</v>
      </c>
      <c r="B11" s="6">
        <f>Assumptions!B6-Assumptions!B9-Assumptions!B10-Assumptions!B11</f>
        <v>1932640</v>
      </c>
      <c r="C11" s="6">
        <f>B11</f>
        <v>1932640</v>
      </c>
      <c r="D11" s="6">
        <f>B11</f>
        <v>1932640</v>
      </c>
      <c r="E11" s="7">
        <f>B11</f>
        <v>1932640</v>
      </c>
    </row>
    <row r="12" spans="1:5" s="1" customFormat="1" x14ac:dyDescent="0.2">
      <c r="A12" s="8" t="s">
        <v>30</v>
      </c>
      <c r="B12" s="9">
        <f>SUM(B8:B11)</f>
        <v>3088030</v>
      </c>
      <c r="C12" s="9">
        <f>SUM(C8:C11)</f>
        <v>3088030</v>
      </c>
      <c r="D12" s="9">
        <f>SUM(D8:D11)</f>
        <v>3400754</v>
      </c>
      <c r="E12" s="10">
        <f>SUM(E8:E11)</f>
        <v>3322573</v>
      </c>
    </row>
    <row r="13" spans="1:5" s="1" customFormat="1" ht="14" customHeight="1" x14ac:dyDescent="0.2"/>
    <row r="14" spans="1:5" s="1" customFormat="1" ht="17" customHeight="1" x14ac:dyDescent="0.2">
      <c r="A14" s="128" t="s">
        <v>88</v>
      </c>
      <c r="B14" s="129"/>
      <c r="C14" s="129"/>
      <c r="D14" s="129"/>
      <c r="E14" s="130"/>
    </row>
    <row r="15" spans="1:5" s="1" customFormat="1" x14ac:dyDescent="0.2">
      <c r="A15" s="5" t="s">
        <v>31</v>
      </c>
      <c r="B15" s="6">
        <f>B5-B12</f>
        <v>978430</v>
      </c>
      <c r="C15" s="6">
        <f t="shared" ref="C15:D15" si="0">C5-C12</f>
        <v>-241508</v>
      </c>
      <c r="D15" s="6">
        <f t="shared" si="0"/>
        <v>665706</v>
      </c>
      <c r="E15" s="7">
        <f>E5-E12</f>
        <v>-69405</v>
      </c>
    </row>
    <row r="16" spans="1:5" s="1" customFormat="1" x14ac:dyDescent="0.2">
      <c r="A16" s="8" t="s">
        <v>47</v>
      </c>
      <c r="B16" s="11">
        <f>B15/B5</f>
        <v>0.24060976869316308</v>
      </c>
      <c r="C16" s="11">
        <f>IF(C5&gt;0,C15/C5,"N/A")</f>
        <v>-8.4843187581195578E-2</v>
      </c>
      <c r="D16" s="11">
        <f>D15/D5</f>
        <v>0.16370651623279217</v>
      </c>
      <c r="E16" s="12">
        <f>IF(E5&gt;0,E15/E5,"N/A")</f>
        <v>-2.1334588315143885E-2</v>
      </c>
    </row>
    <row r="17" spans="1:5" s="1" customFormat="1" x14ac:dyDescent="0.2"/>
    <row r="18" spans="1:5" s="1" customFormat="1" ht="19" x14ac:dyDescent="0.2">
      <c r="A18" s="128" t="s">
        <v>240</v>
      </c>
      <c r="B18" s="129"/>
      <c r="C18" s="129"/>
      <c r="D18" s="129"/>
      <c r="E18" s="130"/>
    </row>
    <row r="19" spans="1:5" s="1" customFormat="1" x14ac:dyDescent="0.2">
      <c r="A19" s="5" t="s">
        <v>48</v>
      </c>
      <c r="B19" s="13">
        <f>Assumptions!B17/Assumptions!B18</f>
        <v>214285.71428571429</v>
      </c>
      <c r="C19" s="13">
        <f>B19</f>
        <v>214285.71428571429</v>
      </c>
      <c r="D19" s="13">
        <f>B19</f>
        <v>214285.71428571429</v>
      </c>
      <c r="E19" s="14">
        <f>B19</f>
        <v>214285.71428571429</v>
      </c>
    </row>
    <row r="20" spans="1:5" s="1" customFormat="1" ht="34" x14ac:dyDescent="0.2">
      <c r="A20" s="15" t="s">
        <v>241</v>
      </c>
      <c r="B20" s="13">
        <f>Assumptions!B17*Assumptions!B19</f>
        <v>105150</v>
      </c>
      <c r="C20" s="13">
        <f>B20</f>
        <v>105150</v>
      </c>
      <c r="D20" s="13">
        <f>B20</f>
        <v>105150</v>
      </c>
      <c r="E20" s="14">
        <f>B20</f>
        <v>105150</v>
      </c>
    </row>
    <row r="21" spans="1:5" s="1" customFormat="1" x14ac:dyDescent="0.2">
      <c r="A21" s="8" t="s">
        <v>242</v>
      </c>
      <c r="B21" s="16">
        <f>B19+B20</f>
        <v>319435.71428571432</v>
      </c>
      <c r="C21" s="16">
        <f>B21</f>
        <v>319435.71428571432</v>
      </c>
      <c r="D21" s="16">
        <f>B21</f>
        <v>319435.71428571432</v>
      </c>
      <c r="E21" s="17">
        <f>B21</f>
        <v>319435.71428571432</v>
      </c>
    </row>
    <row r="22" spans="1:5" s="1" customFormat="1" x14ac:dyDescent="0.2"/>
    <row r="23" spans="1:5" s="1" customFormat="1" ht="19" x14ac:dyDescent="0.2">
      <c r="A23" s="128" t="s">
        <v>49</v>
      </c>
      <c r="B23" s="129"/>
      <c r="C23" s="129"/>
      <c r="D23" s="129"/>
      <c r="E23" s="130"/>
    </row>
    <row r="24" spans="1:5" s="1" customFormat="1" ht="24" customHeight="1" x14ac:dyDescent="0.2">
      <c r="A24" s="15" t="s">
        <v>50</v>
      </c>
      <c r="B24" s="18">
        <f>B15/B21</f>
        <v>3.0629950135283197</v>
      </c>
      <c r="C24" s="18" t="str">
        <f>IF(C15&gt;0,C15/C21,"&lt; 0")</f>
        <v>&lt; 0</v>
      </c>
      <c r="D24" s="18">
        <f>D15/D21</f>
        <v>2.084006171597236</v>
      </c>
      <c r="E24" s="19" t="str">
        <f>IF(E15&gt;0,E15/E21,"&lt; 0")</f>
        <v>&lt; 0</v>
      </c>
    </row>
    <row r="25" spans="1:5" s="1" customFormat="1" ht="26" customHeight="1" x14ac:dyDescent="0.2">
      <c r="A25" s="15" t="s">
        <v>243</v>
      </c>
      <c r="B25" s="20">
        <f>Assumptions!B8</f>
        <v>290580</v>
      </c>
      <c r="C25" s="20">
        <f>IF(ISNUMBER(C15),C15*$B$40,"N/A")</f>
        <v>-71723.758881484813</v>
      </c>
      <c r="D25" s="20">
        <f t="shared" ref="D25:E25" si="1">IF(ISNUMBER(D15),D15*$B$40,"N/A")</f>
        <v>197703.33334696045</v>
      </c>
      <c r="E25" s="21">
        <f t="shared" si="1"/>
        <v>-20612.101815134294</v>
      </c>
    </row>
    <row r="26" spans="1:5" s="1" customFormat="1" ht="34" x14ac:dyDescent="0.2">
      <c r="A26" s="15" t="s">
        <v>244</v>
      </c>
      <c r="B26" s="18">
        <f>IF(B25&gt;0,B25/B21,"&lt; 0")</f>
        <v>0.90966659958408791</v>
      </c>
      <c r="C26" s="18" t="str">
        <f>IF(ISNUMBER(C25),IF(C25&gt;0,C25/C21,"&lt; 0"),"N/A")</f>
        <v>&lt; 0</v>
      </c>
      <c r="D26" s="18">
        <f>IF(D25&gt;0,D25/D21,"&lt; 0")</f>
        <v>0.61891430577523898</v>
      </c>
      <c r="E26" s="19" t="str">
        <f>IF(ISNUMBER(E25),IF(E25&gt;0,E25/E21,"&lt; 0"),"N/A")</f>
        <v>&lt; 0</v>
      </c>
    </row>
    <row r="27" spans="1:5" s="1" customFormat="1" ht="23" customHeight="1" x14ac:dyDescent="0.2">
      <c r="A27" s="15" t="s">
        <v>51</v>
      </c>
      <c r="B27" s="18">
        <f>Assumptions!B20</f>
        <v>1.25</v>
      </c>
      <c r="C27" s="18">
        <f>Assumptions!B20</f>
        <v>1.25</v>
      </c>
      <c r="D27" s="18">
        <f>Assumptions!B20</f>
        <v>1.25</v>
      </c>
      <c r="E27" s="19">
        <f>Assumptions!B20</f>
        <v>1.25</v>
      </c>
    </row>
    <row r="28" spans="1:5" s="1" customFormat="1" ht="25" customHeight="1" x14ac:dyDescent="0.2">
      <c r="A28" s="22" t="s">
        <v>61</v>
      </c>
      <c r="B28" s="23">
        <f>B24-B27</f>
        <v>1.8129950135283197</v>
      </c>
      <c r="C28" s="23" t="str">
        <f>IF(ISNUMBER(C24),C24-C27,"N/A")</f>
        <v>N/A</v>
      </c>
      <c r="D28" s="23">
        <f>D24-D27</f>
        <v>0.834006171597236</v>
      </c>
      <c r="E28" s="24" t="str">
        <f>IF(ISNUMBER(E24),E24-E27,"N/A")</f>
        <v>N/A</v>
      </c>
    </row>
    <row r="29" spans="1:5" s="1" customFormat="1" x14ac:dyDescent="0.2"/>
    <row r="30" spans="1:5" s="1" customFormat="1" ht="19" x14ac:dyDescent="0.2">
      <c r="A30" s="128" t="s">
        <v>52</v>
      </c>
      <c r="B30" s="129"/>
      <c r="C30" s="129"/>
      <c r="D30" s="129"/>
      <c r="E30" s="130"/>
    </row>
    <row r="31" spans="1:5" s="1" customFormat="1" ht="43" customHeight="1" x14ac:dyDescent="0.2">
      <c r="A31" s="15" t="s">
        <v>53</v>
      </c>
      <c r="B31" s="25" t="s">
        <v>54</v>
      </c>
      <c r="C31" s="25" t="s">
        <v>245</v>
      </c>
      <c r="D31" s="25" t="s">
        <v>54</v>
      </c>
      <c r="E31" s="26" t="s">
        <v>245</v>
      </c>
    </row>
    <row r="32" spans="1:5" s="1" customFormat="1" ht="112" customHeight="1" x14ac:dyDescent="0.2">
      <c r="A32" s="22" t="s">
        <v>55</v>
      </c>
      <c r="B32" s="27" t="s">
        <v>56</v>
      </c>
      <c r="C32" s="27" t="s">
        <v>57</v>
      </c>
      <c r="D32" s="27" t="s">
        <v>58</v>
      </c>
      <c r="E32" s="28" t="s">
        <v>59</v>
      </c>
    </row>
    <row r="33" spans="1:5" s="1" customFormat="1" x14ac:dyDescent="0.2"/>
    <row r="34" spans="1:5" s="1" customFormat="1" ht="19" x14ac:dyDescent="0.2">
      <c r="A34" s="240" t="s">
        <v>60</v>
      </c>
      <c r="B34" s="241"/>
      <c r="C34" s="241"/>
      <c r="D34" s="241"/>
      <c r="E34" s="242"/>
    </row>
    <row r="35" spans="1:5" s="1" customFormat="1" ht="63" customHeight="1" x14ac:dyDescent="0.2">
      <c r="A35" s="247" t="s">
        <v>247</v>
      </c>
      <c r="B35" s="248"/>
      <c r="C35" s="248"/>
      <c r="D35" s="248"/>
      <c r="E35" s="249"/>
    </row>
    <row r="36" spans="1:5" s="1" customFormat="1" ht="65" customHeight="1" x14ac:dyDescent="0.2">
      <c r="A36" s="247" t="s">
        <v>248</v>
      </c>
      <c r="B36" s="248"/>
      <c r="C36" s="248"/>
      <c r="D36" s="248"/>
      <c r="E36" s="249"/>
    </row>
    <row r="37" spans="1:5" s="1" customFormat="1" ht="52" customHeight="1" x14ac:dyDescent="0.2">
      <c r="A37" s="250" t="s">
        <v>249</v>
      </c>
      <c r="B37" s="251"/>
      <c r="C37" s="251"/>
      <c r="D37" s="251"/>
      <c r="E37" s="252"/>
    </row>
    <row r="38" spans="1:5" ht="37" customHeight="1" x14ac:dyDescent="0.2"/>
    <row r="39" spans="1:5" ht="29" hidden="1" customHeight="1" x14ac:dyDescent="0.2">
      <c r="A39" s="253" t="s">
        <v>246</v>
      </c>
      <c r="B39" s="254"/>
      <c r="C39" s="254"/>
      <c r="D39" s="254"/>
      <c r="E39" s="255"/>
    </row>
    <row r="40" spans="1:5" ht="34" hidden="1" customHeight="1" x14ac:dyDescent="0.2">
      <c r="A40" s="8" t="s">
        <v>87</v>
      </c>
      <c r="B40" s="244">
        <f>Assumptions!B8/Assumptions!B7</f>
        <v>0.29698295245492823</v>
      </c>
      <c r="C40" s="245"/>
      <c r="D40" s="245"/>
      <c r="E40" s="246"/>
    </row>
  </sheetData>
  <mergeCells count="13">
    <mergeCell ref="B40:E40"/>
    <mergeCell ref="A35:E35"/>
    <mergeCell ref="A36:E36"/>
    <mergeCell ref="A37:E37"/>
    <mergeCell ref="A39:E39"/>
    <mergeCell ref="A23:E23"/>
    <mergeCell ref="A30:E30"/>
    <mergeCell ref="A34:E34"/>
    <mergeCell ref="A1:E1"/>
    <mergeCell ref="A4:E4"/>
    <mergeCell ref="A7:E7"/>
    <mergeCell ref="A14:E14"/>
    <mergeCell ref="A18:E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AD61F-BDEB-F646-97A7-2C44E7AE098B}">
  <sheetPr>
    <tabColor theme="5" tint="0.39997558519241921"/>
  </sheetPr>
  <dimension ref="A1:P24"/>
  <sheetViews>
    <sheetView showGridLines="0" zoomScale="125" zoomScaleNormal="154" workbookViewId="0">
      <selection activeCell="I21" sqref="I21"/>
    </sheetView>
  </sheetViews>
  <sheetFormatPr baseColWidth="10" defaultRowHeight="16" x14ac:dyDescent="0.2"/>
  <cols>
    <col min="1" max="1" width="11.6640625" style="29" customWidth="1"/>
    <col min="2" max="2" width="11" style="29" customWidth="1"/>
    <col min="3" max="3" width="10.83203125" style="29" customWidth="1"/>
    <col min="4" max="4" width="11.1640625" style="29" customWidth="1"/>
    <col min="5" max="6" width="12.33203125" style="29" bestFit="1" customWidth="1"/>
    <col min="7" max="13" width="11.6640625" style="29" bestFit="1" customWidth="1"/>
    <col min="14" max="14" width="10.83203125" style="29"/>
    <col min="15" max="15" width="15.83203125" style="29" hidden="1" customWidth="1"/>
    <col min="16" max="16" width="0" style="29" hidden="1" customWidth="1"/>
    <col min="17" max="16384" width="10.83203125" style="29"/>
  </cols>
  <sheetData>
    <row r="1" spans="1:16" s="1" customFormat="1" ht="23" customHeight="1" x14ac:dyDescent="0.2">
      <c r="A1" s="134" t="s">
        <v>192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</row>
    <row r="2" spans="1:16" s="1" customFormat="1" x14ac:dyDescent="0.2"/>
    <row r="3" spans="1:16" s="1" customFormat="1" ht="18" customHeight="1" x14ac:dyDescent="0.2">
      <c r="C3" s="128" t="s">
        <v>89</v>
      </c>
      <c r="D3" s="129"/>
      <c r="E3" s="129"/>
      <c r="F3" s="129"/>
      <c r="G3" s="129"/>
      <c r="H3" s="129"/>
      <c r="I3" s="129"/>
      <c r="J3" s="129"/>
      <c r="K3" s="129"/>
      <c r="L3" s="129"/>
      <c r="M3" s="130"/>
    </row>
    <row r="4" spans="1:16" s="1" customFormat="1" x14ac:dyDescent="0.2">
      <c r="C4" s="117">
        <v>-0.4</v>
      </c>
      <c r="D4" s="118">
        <f>C4+5%</f>
        <v>-0.35000000000000003</v>
      </c>
      <c r="E4" s="118">
        <f t="shared" ref="E4:M4" si="0">D4+5%</f>
        <v>-0.30000000000000004</v>
      </c>
      <c r="F4" s="118">
        <f t="shared" si="0"/>
        <v>-0.25000000000000006</v>
      </c>
      <c r="G4" s="118">
        <f t="shared" si="0"/>
        <v>-0.20000000000000007</v>
      </c>
      <c r="H4" s="118">
        <f t="shared" si="0"/>
        <v>-0.15000000000000008</v>
      </c>
      <c r="I4" s="118">
        <f t="shared" si="0"/>
        <v>-0.10000000000000007</v>
      </c>
      <c r="J4" s="118">
        <f t="shared" si="0"/>
        <v>-5.0000000000000072E-2</v>
      </c>
      <c r="K4" s="118">
        <f t="shared" si="0"/>
        <v>-6.9388939039072284E-17</v>
      </c>
      <c r="L4" s="118">
        <f t="shared" si="0"/>
        <v>4.9999999999999933E-2</v>
      </c>
      <c r="M4" s="119">
        <f t="shared" si="0"/>
        <v>9.9999999999999936E-2</v>
      </c>
    </row>
    <row r="5" spans="1:16" s="1" customFormat="1" x14ac:dyDescent="0.2">
      <c r="A5" s="131" t="s">
        <v>90</v>
      </c>
      <c r="B5" s="126">
        <v>0.6</v>
      </c>
      <c r="C5" s="124">
        <f>(($P$6*(1+C$4))-(($P$7*(1+$B5))+$P$8+$P$9+$P$10))/$P$11</f>
        <v>-3.4975425415352963</v>
      </c>
      <c r="D5" s="120">
        <f t="shared" ref="D5:M13" si="1">(($P$6*(1+D$4))-(($P$7*(1+$B5))+$P$8+$P$9+$P$10))/$P$11</f>
        <v>-2.8610357550144241</v>
      </c>
      <c r="E5" s="120">
        <f t="shared" si="1"/>
        <v>-2.2245289684935488</v>
      </c>
      <c r="F5" s="120">
        <f t="shared" si="1"/>
        <v>-1.588022181972675</v>
      </c>
      <c r="G5" s="120">
        <f t="shared" si="1"/>
        <v>-0.95151539545180253</v>
      </c>
      <c r="H5" s="120">
        <f t="shared" si="1"/>
        <v>-0.31500860893092875</v>
      </c>
      <c r="I5" s="120">
        <f t="shared" si="1"/>
        <v>0.32149817758994509</v>
      </c>
      <c r="J5" s="120">
        <f t="shared" si="1"/>
        <v>0.95800496411082037</v>
      </c>
      <c r="K5" s="120">
        <f t="shared" si="1"/>
        <v>1.5945117506316926</v>
      </c>
      <c r="L5" s="120">
        <f t="shared" si="1"/>
        <v>2.2310185371525648</v>
      </c>
      <c r="M5" s="121">
        <f t="shared" si="1"/>
        <v>2.8675253236734388</v>
      </c>
      <c r="O5" s="135" t="s">
        <v>126</v>
      </c>
      <c r="P5" s="135"/>
    </row>
    <row r="6" spans="1:16" s="1" customFormat="1" x14ac:dyDescent="0.2">
      <c r="A6" s="132"/>
      <c r="B6" s="118">
        <f t="shared" ref="B6:B11" si="2">B5-10%</f>
        <v>0.5</v>
      </c>
      <c r="C6" s="124">
        <f t="shared" ref="C6:C13" si="3">(($P$6*(1+C$4))-(($P$7*(1+$B6))+$P$8+$P$9+$P$10))/$P$11</f>
        <v>-3.2527953310525253</v>
      </c>
      <c r="D6" s="120">
        <f t="shared" si="1"/>
        <v>-2.616288544531653</v>
      </c>
      <c r="E6" s="120">
        <f t="shared" si="1"/>
        <v>-1.9797817580107777</v>
      </c>
      <c r="F6" s="120">
        <f t="shared" si="1"/>
        <v>-1.3432749714899039</v>
      </c>
      <c r="G6" s="120">
        <f t="shared" si="1"/>
        <v>-0.7067681849690316</v>
      </c>
      <c r="H6" s="120">
        <f t="shared" si="1"/>
        <v>-7.0261398448157791E-2</v>
      </c>
      <c r="I6" s="120">
        <f t="shared" si="1"/>
        <v>0.56624538807271596</v>
      </c>
      <c r="J6" s="120">
        <f t="shared" si="1"/>
        <v>1.2027521745935912</v>
      </c>
      <c r="K6" s="120">
        <f t="shared" si="1"/>
        <v>1.8392589611144636</v>
      </c>
      <c r="L6" s="120">
        <f t="shared" si="1"/>
        <v>2.4757657476353359</v>
      </c>
      <c r="M6" s="121">
        <f t="shared" si="1"/>
        <v>3.1122725341562099</v>
      </c>
      <c r="O6" s="4" t="s">
        <v>91</v>
      </c>
      <c r="P6" s="4">
        <f>Assumptions!B5</f>
        <v>4066460</v>
      </c>
    </row>
    <row r="7" spans="1:16" s="1" customFormat="1" x14ac:dyDescent="0.2">
      <c r="A7" s="132"/>
      <c r="B7" s="118">
        <f t="shared" si="2"/>
        <v>0.4</v>
      </c>
      <c r="C7" s="124">
        <f t="shared" si="3"/>
        <v>-3.0080481205697542</v>
      </c>
      <c r="D7" s="120">
        <f t="shared" si="1"/>
        <v>-2.371541334048882</v>
      </c>
      <c r="E7" s="120">
        <f t="shared" si="1"/>
        <v>-1.7350345475280069</v>
      </c>
      <c r="F7" s="120">
        <f t="shared" si="1"/>
        <v>-1.0985277610071329</v>
      </c>
      <c r="G7" s="120">
        <f t="shared" si="1"/>
        <v>-0.46202097448626067</v>
      </c>
      <c r="H7" s="120">
        <f t="shared" si="1"/>
        <v>0.17448581203461314</v>
      </c>
      <c r="I7" s="120">
        <f t="shared" si="1"/>
        <v>0.81099259855548689</v>
      </c>
      <c r="J7" s="120">
        <f t="shared" si="1"/>
        <v>1.4474993850763622</v>
      </c>
      <c r="K7" s="120">
        <f t="shared" si="1"/>
        <v>2.0840061715972347</v>
      </c>
      <c r="L7" s="120">
        <f t="shared" si="1"/>
        <v>2.7205129581181069</v>
      </c>
      <c r="M7" s="121">
        <f t="shared" si="1"/>
        <v>3.3570197446389805</v>
      </c>
      <c r="O7" s="4" t="s">
        <v>92</v>
      </c>
      <c r="P7" s="4">
        <f>Assumptions!B9</f>
        <v>781810</v>
      </c>
    </row>
    <row r="8" spans="1:16" s="1" customFormat="1" x14ac:dyDescent="0.2">
      <c r="A8" s="132"/>
      <c r="B8" s="118">
        <f t="shared" si="2"/>
        <v>0.30000000000000004</v>
      </c>
      <c r="C8" s="124">
        <f t="shared" si="3"/>
        <v>-2.7633009100869836</v>
      </c>
      <c r="D8" s="120">
        <f t="shared" si="1"/>
        <v>-2.126794123566111</v>
      </c>
      <c r="E8" s="120">
        <f t="shared" si="1"/>
        <v>-1.4902873370452359</v>
      </c>
      <c r="F8" s="120">
        <f t="shared" si="1"/>
        <v>-0.85378055052436208</v>
      </c>
      <c r="G8" s="120">
        <f t="shared" si="1"/>
        <v>-0.21727376400348972</v>
      </c>
      <c r="H8" s="120">
        <f t="shared" si="1"/>
        <v>0.41923302251738409</v>
      </c>
      <c r="I8" s="120">
        <f t="shared" si="1"/>
        <v>1.0557398090382579</v>
      </c>
      <c r="J8" s="120">
        <f t="shared" si="1"/>
        <v>1.692246595559133</v>
      </c>
      <c r="K8" s="120">
        <f t="shared" si="1"/>
        <v>2.3287533820800053</v>
      </c>
      <c r="L8" s="120">
        <f t="shared" si="1"/>
        <v>2.9652601686008779</v>
      </c>
      <c r="M8" s="121">
        <f t="shared" si="1"/>
        <v>3.6017669551217515</v>
      </c>
      <c r="O8" s="4" t="s">
        <v>134</v>
      </c>
      <c r="P8" s="4">
        <f>Assumptions!B10</f>
        <v>208680</v>
      </c>
    </row>
    <row r="9" spans="1:16" s="1" customFormat="1" x14ac:dyDescent="0.2">
      <c r="A9" s="132"/>
      <c r="B9" s="118">
        <f t="shared" si="2"/>
        <v>0.20000000000000004</v>
      </c>
      <c r="C9" s="124">
        <f t="shared" si="3"/>
        <v>-2.5185536996042126</v>
      </c>
      <c r="D9" s="120">
        <f t="shared" si="1"/>
        <v>-1.8820469130833402</v>
      </c>
      <c r="E9" s="120">
        <f t="shared" si="1"/>
        <v>-1.2455401265624648</v>
      </c>
      <c r="F9" s="120">
        <f t="shared" si="1"/>
        <v>-0.60903334004159115</v>
      </c>
      <c r="G9" s="120">
        <f t="shared" si="1"/>
        <v>2.7473446479281204E-2</v>
      </c>
      <c r="H9" s="120">
        <f t="shared" si="1"/>
        <v>0.66398023300015496</v>
      </c>
      <c r="I9" s="120">
        <f t="shared" si="1"/>
        <v>1.3004870195210287</v>
      </c>
      <c r="J9" s="120">
        <f t="shared" si="1"/>
        <v>1.9369938060419041</v>
      </c>
      <c r="K9" s="120">
        <f t="shared" si="1"/>
        <v>2.5735005925627763</v>
      </c>
      <c r="L9" s="120">
        <f t="shared" si="1"/>
        <v>3.2100073790836485</v>
      </c>
      <c r="M9" s="121">
        <f t="shared" si="1"/>
        <v>3.8465141656045225</v>
      </c>
      <c r="O9" s="4" t="s">
        <v>135</v>
      </c>
      <c r="P9" s="4">
        <f>Assumptions!B11</f>
        <v>164900</v>
      </c>
    </row>
    <row r="10" spans="1:16" s="1" customFormat="1" x14ac:dyDescent="0.2">
      <c r="A10" s="132"/>
      <c r="B10" s="118">
        <f t="shared" si="2"/>
        <v>0.10000000000000003</v>
      </c>
      <c r="C10" s="124">
        <f t="shared" si="3"/>
        <v>-2.2738064891214416</v>
      </c>
      <c r="D10" s="120">
        <f t="shared" si="1"/>
        <v>-1.6372997026005693</v>
      </c>
      <c r="E10" s="120">
        <f t="shared" si="1"/>
        <v>-1.000792916079694</v>
      </c>
      <c r="F10" s="120">
        <f t="shared" si="1"/>
        <v>-0.36428612955882023</v>
      </c>
      <c r="G10" s="120">
        <f t="shared" si="1"/>
        <v>0.27222065696205211</v>
      </c>
      <c r="H10" s="120">
        <f t="shared" si="1"/>
        <v>0.90872744348292589</v>
      </c>
      <c r="I10" s="120">
        <f t="shared" si="1"/>
        <v>1.5452342300037998</v>
      </c>
      <c r="J10" s="120">
        <f t="shared" si="1"/>
        <v>2.1817410165246751</v>
      </c>
      <c r="K10" s="120">
        <f t="shared" si="1"/>
        <v>2.8182478030455473</v>
      </c>
      <c r="L10" s="120">
        <f t="shared" si="1"/>
        <v>3.4547545895664196</v>
      </c>
      <c r="M10" s="121">
        <f t="shared" si="1"/>
        <v>4.0912613760872931</v>
      </c>
      <c r="O10" s="4" t="s">
        <v>93</v>
      </c>
      <c r="P10" s="4">
        <f>Assumptions!B6-Assumptions!B9-Assumptions!B10-Assumptions!B11</f>
        <v>1932640</v>
      </c>
    </row>
    <row r="11" spans="1:16" s="1" customFormat="1" x14ac:dyDescent="0.2">
      <c r="A11" s="132"/>
      <c r="B11" s="118">
        <f t="shared" si="2"/>
        <v>0</v>
      </c>
      <c r="C11" s="124">
        <f t="shared" si="3"/>
        <v>-2.0290592786386705</v>
      </c>
      <c r="D11" s="120">
        <f t="shared" si="1"/>
        <v>-1.3925524921177983</v>
      </c>
      <c r="E11" s="120">
        <f t="shared" si="1"/>
        <v>-0.75604570559692308</v>
      </c>
      <c r="F11" s="120">
        <f t="shared" si="1"/>
        <v>-0.11953891907604927</v>
      </c>
      <c r="G11" s="120">
        <f t="shared" si="1"/>
        <v>0.51696786744482304</v>
      </c>
      <c r="H11" s="120">
        <f t="shared" si="1"/>
        <v>1.1534746539656968</v>
      </c>
      <c r="I11" s="120">
        <f t="shared" si="1"/>
        <v>1.7899814404865706</v>
      </c>
      <c r="J11" s="120">
        <f t="shared" si="1"/>
        <v>2.4264882270074457</v>
      </c>
      <c r="K11" s="120">
        <f t="shared" si="1"/>
        <v>3.0629950135283184</v>
      </c>
      <c r="L11" s="120">
        <f t="shared" si="1"/>
        <v>3.6995018000491906</v>
      </c>
      <c r="M11" s="121">
        <f t="shared" si="1"/>
        <v>4.3360085865700642</v>
      </c>
      <c r="O11" s="4" t="s">
        <v>94</v>
      </c>
      <c r="P11" s="47">
        <f>Debt_Model!B21</f>
        <v>319435.71428571432</v>
      </c>
    </row>
    <row r="12" spans="1:16" s="1" customFormat="1" x14ac:dyDescent="0.2">
      <c r="A12" s="132"/>
      <c r="B12" s="118">
        <f t="shared" ref="B12:B13" si="4">B11-10%</f>
        <v>-0.1</v>
      </c>
      <c r="C12" s="124">
        <f t="shared" si="3"/>
        <v>-1.7843120681558997</v>
      </c>
      <c r="D12" s="120">
        <f t="shared" si="1"/>
        <v>-1.1478052816350275</v>
      </c>
      <c r="E12" s="120">
        <f t="shared" si="1"/>
        <v>-0.51129849511415215</v>
      </c>
      <c r="F12" s="120">
        <f t="shared" si="1"/>
        <v>0.12520829140672166</v>
      </c>
      <c r="G12" s="120">
        <f t="shared" si="1"/>
        <v>0.76171507792759396</v>
      </c>
      <c r="H12" s="120">
        <f t="shared" si="1"/>
        <v>1.3982218644484679</v>
      </c>
      <c r="I12" s="120">
        <f t="shared" si="1"/>
        <v>2.0347286509693414</v>
      </c>
      <c r="J12" s="120">
        <f t="shared" si="1"/>
        <v>2.6712354374902167</v>
      </c>
      <c r="K12" s="120">
        <f t="shared" si="1"/>
        <v>3.307742224011089</v>
      </c>
      <c r="L12" s="120">
        <f t="shared" si="1"/>
        <v>3.9442490105319616</v>
      </c>
      <c r="M12" s="121">
        <f t="shared" si="1"/>
        <v>4.5807557970528352</v>
      </c>
    </row>
    <row r="13" spans="1:16" s="1" customFormat="1" x14ac:dyDescent="0.2">
      <c r="A13" s="133"/>
      <c r="B13" s="127">
        <f t="shared" si="4"/>
        <v>-0.2</v>
      </c>
      <c r="C13" s="125">
        <f t="shared" si="3"/>
        <v>-1.5395648576731289</v>
      </c>
      <c r="D13" s="122">
        <f t="shared" si="1"/>
        <v>-0.90305807115225645</v>
      </c>
      <c r="E13" s="122">
        <f t="shared" si="1"/>
        <v>-0.26655128463138122</v>
      </c>
      <c r="F13" s="122">
        <f t="shared" si="1"/>
        <v>0.36995550188949261</v>
      </c>
      <c r="G13" s="122">
        <f t="shared" si="1"/>
        <v>1.0064622884103649</v>
      </c>
      <c r="H13" s="122">
        <f t="shared" si="1"/>
        <v>1.6429690749312387</v>
      </c>
      <c r="I13" s="122">
        <f t="shared" si="1"/>
        <v>2.2794758614521125</v>
      </c>
      <c r="J13" s="122">
        <f t="shared" si="1"/>
        <v>2.9159826479729878</v>
      </c>
      <c r="K13" s="122">
        <f t="shared" si="1"/>
        <v>3.55248943449386</v>
      </c>
      <c r="L13" s="122">
        <f t="shared" si="1"/>
        <v>4.1889962210147322</v>
      </c>
      <c r="M13" s="123">
        <f t="shared" si="1"/>
        <v>4.8255030075356062</v>
      </c>
    </row>
    <row r="15" spans="1:16" x14ac:dyDescent="0.2">
      <c r="B15" s="136" t="s">
        <v>127</v>
      </c>
      <c r="C15" s="137"/>
      <c r="D15" s="138" t="s">
        <v>193</v>
      </c>
      <c r="E15" s="138"/>
      <c r="F15" s="138"/>
      <c r="G15" s="139"/>
    </row>
    <row r="16" spans="1:16" ht="17" customHeight="1" x14ac:dyDescent="0.2">
      <c r="B16" s="140" t="s">
        <v>128</v>
      </c>
      <c r="C16" s="141"/>
      <c r="D16" s="142" t="s">
        <v>194</v>
      </c>
      <c r="E16" s="142"/>
      <c r="F16" s="142"/>
      <c r="G16" s="143"/>
    </row>
    <row r="17" spans="2:9" x14ac:dyDescent="0.2">
      <c r="B17" s="144" t="s">
        <v>129</v>
      </c>
      <c r="C17" s="145"/>
      <c r="D17" s="146" t="s">
        <v>195</v>
      </c>
      <c r="E17" s="146"/>
      <c r="F17" s="146"/>
      <c r="G17" s="147"/>
    </row>
    <row r="18" spans="2:9" ht="17" customHeight="1" x14ac:dyDescent="0.2"/>
    <row r="19" spans="2:9" ht="17" x14ac:dyDescent="0.2">
      <c r="B19" s="148" t="s">
        <v>130</v>
      </c>
      <c r="C19" s="149"/>
      <c r="D19" s="149" t="s">
        <v>131</v>
      </c>
      <c r="E19" s="149"/>
      <c r="F19" s="149"/>
      <c r="G19" s="48" t="s">
        <v>132</v>
      </c>
    </row>
    <row r="20" spans="2:9" ht="37" customHeight="1" x14ac:dyDescent="0.2">
      <c r="B20" s="150" t="s">
        <v>178</v>
      </c>
      <c r="C20" s="151"/>
      <c r="D20" s="151" t="s">
        <v>250</v>
      </c>
      <c r="E20" s="151"/>
      <c r="F20" s="151"/>
      <c r="G20" s="50">
        <f>E11</f>
        <v>-0.75604570559692308</v>
      </c>
    </row>
    <row r="21" spans="2:9" ht="41" customHeight="1" x14ac:dyDescent="0.2">
      <c r="B21" s="150" t="s">
        <v>196</v>
      </c>
      <c r="C21" s="151"/>
      <c r="D21" s="151" t="s">
        <v>133</v>
      </c>
      <c r="E21" s="151"/>
      <c r="F21" s="151"/>
      <c r="G21" s="50">
        <f>K7</f>
        <v>2.0840061715972347</v>
      </c>
    </row>
    <row r="22" spans="2:9" ht="42" customHeight="1" x14ac:dyDescent="0.2">
      <c r="B22" s="152" t="s">
        <v>197</v>
      </c>
      <c r="C22" s="153"/>
      <c r="D22" s="153" t="s">
        <v>251</v>
      </c>
      <c r="E22" s="153"/>
      <c r="F22" s="153"/>
      <c r="G22" s="52">
        <f>G8</f>
        <v>-0.21727376400348972</v>
      </c>
    </row>
    <row r="24" spans="2:9" x14ac:dyDescent="0.2">
      <c r="I24" s="29" t="s">
        <v>95</v>
      </c>
    </row>
  </sheetData>
  <mergeCells count="18">
    <mergeCell ref="B20:C20"/>
    <mergeCell ref="B21:C21"/>
    <mergeCell ref="B22:C22"/>
    <mergeCell ref="D20:F20"/>
    <mergeCell ref="D21:F21"/>
    <mergeCell ref="D22:F22"/>
    <mergeCell ref="B16:C16"/>
    <mergeCell ref="D16:G16"/>
    <mergeCell ref="B17:C17"/>
    <mergeCell ref="D17:G17"/>
    <mergeCell ref="B19:C19"/>
    <mergeCell ref="D19:F19"/>
    <mergeCell ref="C3:M3"/>
    <mergeCell ref="A5:A13"/>
    <mergeCell ref="A1:M1"/>
    <mergeCell ref="O5:P5"/>
    <mergeCell ref="B15:C15"/>
    <mergeCell ref="D15:G15"/>
  </mergeCells>
  <conditionalFormatting sqref="C5:M13">
    <cfRule type="cellIs" dxfId="3" priority="1" operator="between">
      <formula>0</formula>
      <formula>1.25</formula>
    </cfRule>
    <cfRule type="cellIs" dxfId="2" priority="2" operator="between">
      <formula>0</formula>
      <formula>1</formula>
    </cfRule>
    <cfRule type="cellIs" dxfId="1" priority="3" operator="lessThan">
      <formula>0</formula>
    </cfRule>
    <cfRule type="cellIs" dxfId="0" priority="4" operator="greaterThanOrEqual">
      <formula>1.25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Assumptions</vt:lpstr>
      <vt:lpstr>Farm_Profile</vt:lpstr>
      <vt:lpstr>Debt_Model</vt:lpstr>
      <vt:lpstr>Sensitivity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 Tran (24749828)</dc:creator>
  <cp:lastModifiedBy>Shin Tran (24749828)</cp:lastModifiedBy>
  <dcterms:created xsi:type="dcterms:W3CDTF">2026-05-26T12:38:37Z</dcterms:created>
  <dcterms:modified xsi:type="dcterms:W3CDTF">2026-06-17T07:45:52Z</dcterms:modified>
</cp:coreProperties>
</file>